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Juan Antonio León López\Universidad Tecnológica de León_UTL\2026 Mayo-Agosto\EXTRACCIÓN DE CONOCIMIENTO EN BASES DE DATOS_IDGS903\"/>
    </mc:Choice>
  </mc:AlternateContent>
  <xr:revisionPtr revIDLastSave="0" documentId="8_{EF995A8F-98D9-43BE-94C8-71745A7B3D8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arcial 1" sheetId="1" r:id="rId1"/>
    <sheet name="Parcial 2" sheetId="2" r:id="rId2"/>
    <sheet name="Parcial 3" sheetId="3" r:id="rId3"/>
    <sheet name="Promedi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" i="4" l="1"/>
  <c r="L13" i="4"/>
  <c r="L14" i="4"/>
  <c r="L15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11" i="4"/>
  <c r="F12" i="4"/>
  <c r="F13" i="4"/>
  <c r="F14" i="4"/>
  <c r="F15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11" i="4"/>
  <c r="AF12" i="1"/>
  <c r="AF13" i="1"/>
  <c r="AF14" i="1"/>
  <c r="AF15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11" i="1"/>
  <c r="AA12" i="1" a="1"/>
  <c r="AA12" i="1" s="1"/>
  <c r="AA13" i="1" a="1"/>
  <c r="AA13" i="1" s="1"/>
  <c r="AA14" i="1" a="1"/>
  <c r="AA14" i="1" s="1"/>
  <c r="AA15" i="1" a="1"/>
  <c r="AA15" i="1" s="1"/>
  <c r="AA16" i="1" a="1"/>
  <c r="AA16" i="1" s="1"/>
  <c r="AA17" i="1" a="1"/>
  <c r="AA17" i="1" s="1"/>
  <c r="AA18" i="1" a="1"/>
  <c r="AA18" i="1" s="1"/>
  <c r="AA19" i="1" a="1"/>
  <c r="AA19" i="1" s="1"/>
  <c r="AA20" i="1" a="1"/>
  <c r="AA20" i="1" s="1"/>
  <c r="AA21" i="1" a="1"/>
  <c r="AA21" i="1" s="1"/>
  <c r="AA22" i="1" a="1"/>
  <c r="AA22" i="1" s="1"/>
  <c r="AA23" i="1" a="1"/>
  <c r="AA23" i="1" s="1"/>
  <c r="AA24" i="1" a="1"/>
  <c r="AA24" i="1" s="1"/>
  <c r="AA25" i="1" a="1"/>
  <c r="AA25" i="1"/>
  <c r="AA26" i="1" a="1"/>
  <c r="AA26" i="1" s="1"/>
  <c r="AA27" i="1" a="1"/>
  <c r="AA27" i="1" s="1"/>
  <c r="AA28" i="1" a="1"/>
  <c r="AA28" i="1" s="1"/>
  <c r="AA29" i="1" a="1"/>
  <c r="AA29" i="1" s="1"/>
  <c r="AA30" i="1" a="1"/>
  <c r="AA30" i="1" s="1"/>
  <c r="AA31" i="1" a="1"/>
  <c r="AA31" i="1" s="1"/>
  <c r="AA32" i="1" a="1"/>
  <c r="AA32" i="1" s="1"/>
  <c r="AA33" i="1" a="1"/>
  <c r="AA33" i="1" s="1"/>
  <c r="AA34" i="1" a="1"/>
  <c r="AA34" i="1" s="1"/>
  <c r="AA11" i="1" a="1"/>
  <c r="AA11" i="1" s="1"/>
  <c r="B13" i="3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12" i="3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AF16" i="1" s="1"/>
  <c r="F16" i="4" s="1"/>
  <c r="L16" i="4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11" i="1" a="1"/>
  <c r="W11" i="1" s="1"/>
  <c r="O12" i="1"/>
  <c r="E12" i="4" s="1"/>
  <c r="K12" i="4" s="1"/>
  <c r="O13" i="1"/>
  <c r="E13" i="4" s="1"/>
  <c r="K13" i="4" s="1"/>
  <c r="O14" i="1"/>
  <c r="E14" i="4" s="1"/>
  <c r="K14" i="4" s="1"/>
  <c r="O15" i="1"/>
  <c r="E15" i="4" s="1"/>
  <c r="K15" i="4" s="1"/>
  <c r="O16" i="1"/>
  <c r="E16" i="4" s="1"/>
  <c r="K16" i="4" s="1"/>
  <c r="O17" i="1"/>
  <c r="E17" i="4" s="1"/>
  <c r="K17" i="4" s="1"/>
  <c r="O18" i="1"/>
  <c r="E18" i="4" s="1"/>
  <c r="K18" i="4" s="1"/>
  <c r="O19" i="1"/>
  <c r="E19" i="4" s="1"/>
  <c r="K19" i="4" s="1"/>
  <c r="O20" i="1"/>
  <c r="E20" i="4" s="1"/>
  <c r="K20" i="4" s="1"/>
  <c r="O21" i="1"/>
  <c r="E21" i="4" s="1"/>
  <c r="K21" i="4" s="1"/>
  <c r="O22" i="1"/>
  <c r="E22" i="4" s="1"/>
  <c r="K22" i="4" s="1"/>
  <c r="O23" i="1"/>
  <c r="E23" i="4" s="1"/>
  <c r="K23" i="4" s="1"/>
  <c r="O24" i="1"/>
  <c r="E24" i="4" s="1"/>
  <c r="K24" i="4" s="1"/>
  <c r="O25" i="1"/>
  <c r="E25" i="4" s="1"/>
  <c r="K25" i="4" s="1"/>
  <c r="O26" i="1"/>
  <c r="E26" i="4" s="1"/>
  <c r="K26" i="4" s="1"/>
  <c r="O27" i="1"/>
  <c r="E27" i="4" s="1"/>
  <c r="K27" i="4" s="1"/>
  <c r="O28" i="1"/>
  <c r="E28" i="4" s="1"/>
  <c r="K28" i="4" s="1"/>
  <c r="O29" i="1"/>
  <c r="E29" i="4" s="1"/>
  <c r="K29" i="4" s="1"/>
  <c r="O30" i="1"/>
  <c r="E30" i="4" s="1"/>
  <c r="K30" i="4" s="1"/>
  <c r="O31" i="1"/>
  <c r="E31" i="4" s="1"/>
  <c r="K31" i="4" s="1"/>
  <c r="O32" i="1"/>
  <c r="E32" i="4" s="1"/>
  <c r="K32" i="4" s="1"/>
  <c r="O33" i="1"/>
  <c r="E33" i="4" s="1"/>
  <c r="K33" i="4" s="1"/>
  <c r="O34" i="1"/>
  <c r="E34" i="4" s="1"/>
  <c r="K34" i="4" s="1"/>
  <c r="O11" i="1"/>
  <c r="E11" i="4" s="1"/>
  <c r="K11" i="4" s="1"/>
  <c r="B20" i="4"/>
  <c r="B14" i="4"/>
  <c r="B15" i="4" s="1"/>
  <c r="B16" i="4" s="1"/>
  <c r="B17" i="4" s="1"/>
  <c r="B12" i="4"/>
  <c r="B20" i="2"/>
  <c r="B14" i="2"/>
  <c r="B15" i="2" s="1"/>
  <c r="B16" i="2" s="1"/>
  <c r="B17" i="2" s="1"/>
  <c r="B12" i="2"/>
  <c r="B20" i="1"/>
  <c r="B21" i="1" s="1"/>
  <c r="B14" i="1"/>
  <c r="B15" i="1" s="1"/>
  <c r="B16" i="1" s="1"/>
  <c r="B17" i="1" s="1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<sst xmlns="http://schemas.openxmlformats.org/spreadsheetml/2006/main" count="174" uniqueCount="64">
  <si>
    <t>UNIVERSIDAD TECNOLÓGICA DE LEÓN.</t>
  </si>
  <si>
    <t>Mayo - Agosto 2026.</t>
  </si>
  <si>
    <t>INGENIERÍA EN DESARROLLO Y GESTIÓN DE SOFTWARE.</t>
  </si>
  <si>
    <t>IDGS 903</t>
  </si>
  <si>
    <t>EXTRACCIÓN DE CONOCIMIENTO EN BASES DE DATOS.</t>
  </si>
  <si>
    <t>No.</t>
  </si>
  <si>
    <t>Matrícula</t>
  </si>
  <si>
    <t>Nombre</t>
  </si>
  <si>
    <t>Asistencia</t>
  </si>
  <si>
    <t>Prácticas</t>
  </si>
  <si>
    <t>Tareas</t>
  </si>
  <si>
    <t>Proyecto</t>
  </si>
  <si>
    <t>Examen</t>
  </si>
  <si>
    <t>Calif. Parcial 1</t>
  </si>
  <si>
    <t>S 1</t>
  </si>
  <si>
    <t>S 2</t>
  </si>
  <si>
    <t>S 3</t>
  </si>
  <si>
    <t>S 4</t>
  </si>
  <si>
    <t>S 5</t>
  </si>
  <si>
    <t>Faltas</t>
  </si>
  <si>
    <t>ARELLANO MARTINEZ ESTEFANIA ISABEL</t>
  </si>
  <si>
    <t>CORTES CRUZ MARIANA GUADALUPE</t>
  </si>
  <si>
    <t>CRUZ DE LA CRUZ YANETH GUADALUPE</t>
  </si>
  <si>
    <t>CUELLAR GUTIERREZ JOSE ANGEL</t>
  </si>
  <si>
    <t>ESQUIVEL TORRES SALVADOR</t>
  </si>
  <si>
    <t>FLOREANO PARRA REY ADONAI</t>
  </si>
  <si>
    <t>GALVAN RODRIGUEZ ADRIANA MICHELLE</t>
  </si>
  <si>
    <t>GARCIA HERNANDEZ JOSE JUAN</t>
  </si>
  <si>
    <t>GOMEZ DEANDA JONATHAN BRANDON</t>
  </si>
  <si>
    <t>GRANADOS CONCHAS MIRIAM CRISTINA</t>
  </si>
  <si>
    <t>HERNANDEZ OROPEZA EMMANUELLE</t>
  </si>
  <si>
    <t>HERNANDEZ PARTIDA BRAYAN MIGUEL ANGEL</t>
  </si>
  <si>
    <t>MAGAÑA BARRERA YTANG EMMANUEL</t>
  </si>
  <si>
    <t>MUÑOZ OLIVARES JOSE OSVALDO</t>
  </si>
  <si>
    <t>PEREZ DE LA TORRE ERICK MISSAEL</t>
  </si>
  <si>
    <t>RAMIREZ NAVARRO JUAN PABLO</t>
  </si>
  <si>
    <t>RAMIREZ RIOS SANDRO ALEXIS</t>
  </si>
  <si>
    <t>RIVERA HERNANDEZ JOSUE ARMANDO</t>
  </si>
  <si>
    <t>RIZO MENDOZA JUAN CARLOS</t>
  </si>
  <si>
    <t>RUIZ GONZALEZ MELCHOR</t>
  </si>
  <si>
    <t>SANCHEZ PEREZ GILBERTO</t>
  </si>
  <si>
    <t>VARGAS NUÑEZ PAULINA ANGELICA</t>
  </si>
  <si>
    <t>VAZQUEZ GUTIERREZ LESLIE MICHELLE</t>
  </si>
  <si>
    <t>ZAVALA ZAVALA JOSE LUIS URIEL</t>
  </si>
  <si>
    <t>Calif. Parcial 2</t>
  </si>
  <si>
    <t>S 6</t>
  </si>
  <si>
    <t>S 7</t>
  </si>
  <si>
    <t>S 8</t>
  </si>
  <si>
    <t>S 9</t>
  </si>
  <si>
    <t>S 10</t>
  </si>
  <si>
    <t>Calif. Parcial 3</t>
  </si>
  <si>
    <t>S 11</t>
  </si>
  <si>
    <t>S 12</t>
  </si>
  <si>
    <t>S 13</t>
  </si>
  <si>
    <t>S 14</t>
  </si>
  <si>
    <t>PARCIAL 1</t>
  </si>
  <si>
    <t>PARCIAL 2</t>
  </si>
  <si>
    <t>PARCIAL 3</t>
  </si>
  <si>
    <t>TOTAL FALTAS</t>
  </si>
  <si>
    <t>CAL. FINAL</t>
  </si>
  <si>
    <t>FALTAS</t>
  </si>
  <si>
    <t>CAL.</t>
  </si>
  <si>
    <t>CALIF.</t>
  </si>
  <si>
    <t>CALIF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</si>
</sst>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7"/>
      <name val="Arial"/>
      <family val="2"/>
      <charset val="1"/>
    </font>
    <font>
      <sz val="10"/>
      <name val="Arial"/>
      <family val="2"/>
      <charset val="1"/>
    </font>
    <font>
      <b/>
      <sz val="9"/>
      <name val="Arial"/>
      <family val="2"/>
      <charset val="1"/>
    </font>
    <font>
      <sz val="7"/>
      <name val="Arial"/>
      <family val="2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3300"/>
      </patternFill>
    </fill>
    <fill>
      <patternFill patternType="solid">
        <fgColor theme="9" tint="0.79998168889431442"/>
        <bgColor rgb="FF003366"/>
      </patternFill>
    </fill>
    <fill>
      <patternFill patternType="solid">
        <fgColor theme="9" tint="0.79998168889431442"/>
        <bgColor rgb="FFF4B183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59999389629810485"/>
        <bgColor rgb="FFB4C7E7"/>
      </patternFill>
    </fill>
    <fill>
      <patternFill patternType="solid">
        <fgColor theme="9" tint="0.39997558519241921"/>
        <bgColor rgb="FF008080"/>
      </patternFill>
    </fill>
    <fill>
      <patternFill patternType="solid">
        <fgColor theme="9" tint="0.39997558519241921"/>
        <bgColor rgb="FF003366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9" tint="0.39997558519241921"/>
        <bgColor rgb="FFB4C7E7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993300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1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3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0" fontId="3" fillId="3" borderId="5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/>
    </xf>
    <xf numFmtId="16" fontId="7" fillId="5" borderId="13" xfId="0" applyNumberFormat="1" applyFont="1" applyFill="1" applyBorder="1" applyAlignment="1">
      <alignment horizontal="center" vertical="center"/>
    </xf>
    <xf numFmtId="16" fontId="7" fillId="5" borderId="14" xfId="0" applyNumberFormat="1" applyFont="1" applyFill="1" applyBorder="1" applyAlignment="1">
      <alignment horizontal="center" vertical="center"/>
    </xf>
    <xf numFmtId="16" fontId="7" fillId="5" borderId="12" xfId="0" applyNumberFormat="1" applyFont="1" applyFill="1" applyBorder="1" applyAlignment="1">
      <alignment horizontal="center" vertical="center"/>
    </xf>
    <xf numFmtId="16" fontId="10" fillId="6" borderId="12" xfId="0" applyNumberFormat="1" applyFont="1" applyFill="1" applyBorder="1" applyAlignment="1">
      <alignment horizontal="center" vertical="center"/>
    </xf>
    <xf numFmtId="16" fontId="7" fillId="5" borderId="44" xfId="0" applyNumberFormat="1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45" xfId="0" applyFont="1" applyFill="1" applyBorder="1" applyAlignment="1">
      <alignment horizontal="center"/>
    </xf>
    <xf numFmtId="0" fontId="8" fillId="5" borderId="37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9" fontId="6" fillId="8" borderId="35" xfId="0" applyNumberFormat="1" applyFont="1" applyFill="1" applyBorder="1" applyAlignment="1">
      <alignment horizontal="center" vertical="center"/>
    </xf>
    <xf numFmtId="1" fontId="6" fillId="8" borderId="11" xfId="0" applyNumberFormat="1" applyFont="1" applyFill="1" applyBorder="1" applyAlignment="1">
      <alignment horizontal="center" vertical="center"/>
    </xf>
    <xf numFmtId="1" fontId="6" fillId="8" borderId="18" xfId="0" applyNumberFormat="1" applyFont="1" applyFill="1" applyBorder="1" applyAlignment="1">
      <alignment horizontal="center" vertical="center"/>
    </xf>
    <xf numFmtId="1" fontId="6" fillId="8" borderId="20" xfId="0" applyNumberFormat="1" applyFont="1" applyFill="1" applyBorder="1" applyAlignment="1">
      <alignment horizontal="center" vertical="center"/>
    </xf>
    <xf numFmtId="9" fontId="6" fillId="8" borderId="20" xfId="0" applyNumberFormat="1" applyFont="1" applyFill="1" applyBorder="1" applyAlignment="1">
      <alignment horizontal="center" vertical="center"/>
    </xf>
    <xf numFmtId="1" fontId="6" fillId="9" borderId="11" xfId="0" applyNumberFormat="1" applyFont="1" applyFill="1" applyBorder="1" applyAlignment="1">
      <alignment horizontal="center" vertical="center"/>
    </xf>
    <xf numFmtId="16" fontId="7" fillId="6" borderId="12" xfId="0" applyNumberFormat="1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1" fontId="5" fillId="9" borderId="11" xfId="0" applyNumberFormat="1" applyFont="1" applyFill="1" applyBorder="1" applyAlignment="1">
      <alignment horizontal="center" vertical="center"/>
    </xf>
    <xf numFmtId="1" fontId="5" fillId="9" borderId="18" xfId="0" applyNumberFormat="1" applyFont="1" applyFill="1" applyBorder="1" applyAlignment="1">
      <alignment horizontal="center" vertical="center"/>
    </xf>
    <xf numFmtId="1" fontId="5" fillId="9" borderId="20" xfId="0" applyNumberFormat="1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6" fillId="8" borderId="53" xfId="0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0" fontId="6" fillId="8" borderId="4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1" fontId="6" fillId="8" borderId="59" xfId="0" applyNumberFormat="1" applyFont="1" applyFill="1" applyBorder="1" applyAlignment="1">
      <alignment horizontal="center" vertical="center"/>
    </xf>
    <xf numFmtId="1" fontId="6" fillId="8" borderId="57" xfId="0" applyNumberFormat="1" applyFont="1" applyFill="1" applyBorder="1" applyAlignment="1">
      <alignment horizontal="center" vertical="center"/>
    </xf>
    <xf numFmtId="1" fontId="6" fillId="8" borderId="58" xfId="0" applyNumberFormat="1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/>
    </xf>
    <xf numFmtId="0" fontId="8" fillId="5" borderId="49" xfId="0" applyFont="1" applyFill="1" applyBorder="1" applyAlignment="1">
      <alignment horizontal="center"/>
    </xf>
    <xf numFmtId="0" fontId="8" fillId="5" borderId="56" xfId="0" applyFont="1" applyFill="1" applyBorder="1" applyAlignment="1">
      <alignment horizontal="center"/>
    </xf>
    <xf numFmtId="0" fontId="3" fillId="14" borderId="1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1" fontId="6" fillId="8" borderId="53" xfId="0" applyNumberFormat="1" applyFont="1" applyFill="1" applyBorder="1" applyAlignment="1">
      <alignment horizontal="center" vertical="center"/>
    </xf>
    <xf numFmtId="1" fontId="6" fillId="8" borderId="34" xfId="0" applyNumberFormat="1" applyFont="1" applyFill="1" applyBorder="1" applyAlignment="1">
      <alignment horizontal="center" vertical="center"/>
    </xf>
    <xf numFmtId="1" fontId="6" fillId="8" borderId="37" xfId="0" applyNumberFormat="1" applyFont="1" applyFill="1" applyBorder="1" applyAlignment="1">
      <alignment horizontal="center" vertical="center"/>
    </xf>
    <xf numFmtId="1" fontId="6" fillId="9" borderId="3" xfId="0" applyNumberFormat="1" applyFont="1" applyFill="1" applyBorder="1" applyAlignment="1">
      <alignment horizontal="center" vertical="center"/>
    </xf>
    <xf numFmtId="1" fontId="6" fillId="9" borderId="22" xfId="0" applyNumberFormat="1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15" xfId="0" applyNumberFormat="1" applyFont="1" applyFill="1" applyBorder="1" applyAlignment="1">
      <alignment horizontal="center" vertical="center" wrapText="1"/>
    </xf>
    <xf numFmtId="0" fontId="3" fillId="11" borderId="53" xfId="0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 wrapText="1"/>
    </xf>
    <xf numFmtId="0" fontId="3" fillId="11" borderId="46" xfId="0" applyFont="1" applyFill="1" applyBorder="1" applyAlignment="1">
      <alignment horizontal="center" vertical="center" wrapText="1"/>
    </xf>
    <xf numFmtId="1" fontId="6" fillId="12" borderId="11" xfId="0" applyNumberFormat="1" applyFont="1" applyFill="1" applyBorder="1" applyAlignment="1">
      <alignment horizontal="center" vertical="center"/>
    </xf>
    <xf numFmtId="1" fontId="6" fillId="12" borderId="3" xfId="0" applyNumberFormat="1" applyFont="1" applyFill="1" applyBorder="1" applyAlignment="1">
      <alignment horizontal="center" vertical="center"/>
    </xf>
    <xf numFmtId="1" fontId="6" fillId="12" borderId="22" xfId="0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0" fontId="6" fillId="5" borderId="48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4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5" borderId="36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horizontal="center" vertical="center"/>
    </xf>
    <xf numFmtId="0" fontId="11" fillId="5" borderId="39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10" borderId="29" xfId="0" applyFont="1" applyFill="1" applyBorder="1" applyAlignment="1">
      <alignment horizontal="center" vertical="center" wrapText="1"/>
    </xf>
    <xf numFmtId="0" fontId="6" fillId="10" borderId="30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9" fillId="5" borderId="54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55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4B183"/>
      <rgbColor rgb="FFB4C7E7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9D18E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2:AML35"/>
  <sheetViews>
    <sheetView tabSelected="1" topLeftCell="A7" zoomScale="70" zoomScaleNormal="70" workbookViewId="0">
      <pane xSplit="4" ySplit="4" topLeftCell="L13" activePane="bottomRight" state="frozen"/>
      <selection pane="bottomRight" activeCell="AD23" sqref="AD23"/>
      <selection pane="bottomLeft" activeCell="A11" sqref="A11"/>
      <selection pane="topRight" activeCell="E7" sqref="E7"/>
    </sheetView>
  </sheetViews>
  <sheetFormatPr defaultColWidth="11.42578125" defaultRowHeight="15" customHeight="1"/>
  <cols>
    <col min="1" max="1" width="3.7109375" style="1" customWidth="1"/>
    <col min="2" max="2" width="3.85546875" style="1" customWidth="1"/>
    <col min="3" max="3" width="11" style="1" customWidth="1"/>
    <col min="4" max="4" width="43.28515625" style="1" bestFit="1" customWidth="1"/>
    <col min="5" max="14" width="5.5703125" style="1" customWidth="1"/>
    <col min="15" max="15" width="6.42578125" style="1" customWidth="1"/>
    <col min="16" max="31" width="5.5703125" style="1" customWidth="1"/>
    <col min="32" max="32" width="7.85546875" style="1" customWidth="1"/>
    <col min="33" max="34" width="5" style="1" customWidth="1"/>
    <col min="35" max="38" width="5.140625" style="1" customWidth="1"/>
    <col min="39" max="45" width="5" style="1" customWidth="1"/>
    <col min="46" max="1026" width="11.42578125" style="1"/>
  </cols>
  <sheetData>
    <row r="2" spans="2:42" ht="15.6">
      <c r="B2" s="2" t="s">
        <v>0</v>
      </c>
    </row>
    <row r="3" spans="2:42" ht="15.6">
      <c r="B3" s="3" t="s">
        <v>1</v>
      </c>
    </row>
    <row r="4" spans="2:42" ht="15.6">
      <c r="B4" s="4" t="s">
        <v>2</v>
      </c>
    </row>
    <row r="5" spans="2:42" ht="15.6">
      <c r="B5" s="3" t="s">
        <v>3</v>
      </c>
    </row>
    <row r="6" spans="2:42" ht="15.6">
      <c r="B6" s="4" t="s">
        <v>4</v>
      </c>
    </row>
    <row r="7" spans="2:42" ht="15" customHeight="1" thickBot="1"/>
    <row r="8" spans="2:42" ht="15" customHeight="1" thickBot="1">
      <c r="B8" s="148" t="s">
        <v>5</v>
      </c>
      <c r="C8" s="151" t="s">
        <v>6</v>
      </c>
      <c r="D8" s="154" t="s">
        <v>7</v>
      </c>
      <c r="E8" s="157" t="s">
        <v>8</v>
      </c>
      <c r="F8" s="158"/>
      <c r="G8" s="159"/>
      <c r="H8" s="159"/>
      <c r="I8" s="159"/>
      <c r="J8" s="159"/>
      <c r="K8" s="159"/>
      <c r="L8" s="159"/>
      <c r="M8" s="159"/>
      <c r="N8" s="159"/>
      <c r="O8" s="160"/>
      <c r="P8" s="148" t="s">
        <v>9</v>
      </c>
      <c r="Q8" s="151"/>
      <c r="R8" s="151"/>
      <c r="S8" s="151"/>
      <c r="T8" s="151"/>
      <c r="U8" s="151"/>
      <c r="V8" s="151"/>
      <c r="W8" s="154"/>
      <c r="X8" s="163" t="s">
        <v>10</v>
      </c>
      <c r="Y8" s="163"/>
      <c r="Z8" s="163"/>
      <c r="AA8" s="163"/>
      <c r="AB8" s="163" t="s">
        <v>11</v>
      </c>
      <c r="AC8" s="163"/>
      <c r="AD8" s="163" t="s">
        <v>12</v>
      </c>
      <c r="AE8" s="163"/>
      <c r="AF8" s="165" t="s">
        <v>13</v>
      </c>
    </row>
    <row r="9" spans="2:42" ht="15.95" thickBot="1">
      <c r="B9" s="149"/>
      <c r="C9" s="152"/>
      <c r="D9" s="155"/>
      <c r="E9" s="161" t="s">
        <v>14</v>
      </c>
      <c r="F9" s="162"/>
      <c r="G9" s="168" t="s">
        <v>15</v>
      </c>
      <c r="H9" s="168"/>
      <c r="I9" s="169" t="s">
        <v>16</v>
      </c>
      <c r="J9" s="162"/>
      <c r="K9" s="168" t="s">
        <v>17</v>
      </c>
      <c r="L9" s="168"/>
      <c r="M9" s="168" t="s">
        <v>18</v>
      </c>
      <c r="N9" s="169"/>
      <c r="O9" s="170" t="s">
        <v>19</v>
      </c>
      <c r="P9" s="150"/>
      <c r="Q9" s="153"/>
      <c r="R9" s="153"/>
      <c r="S9" s="153"/>
      <c r="T9" s="153"/>
      <c r="U9" s="153"/>
      <c r="V9" s="153"/>
      <c r="W9" s="156"/>
      <c r="X9" s="164"/>
      <c r="Y9" s="164"/>
      <c r="Z9" s="164"/>
      <c r="AA9" s="164"/>
      <c r="AB9" s="164"/>
      <c r="AC9" s="164"/>
      <c r="AD9" s="164"/>
      <c r="AE9" s="164"/>
      <c r="AF9" s="166"/>
    </row>
    <row r="10" spans="2:42" ht="15.95" thickBot="1">
      <c r="B10" s="150"/>
      <c r="C10" s="153"/>
      <c r="D10" s="156"/>
      <c r="E10" s="69">
        <v>46141</v>
      </c>
      <c r="F10" s="70">
        <v>46142</v>
      </c>
      <c r="G10" s="71">
        <v>46148</v>
      </c>
      <c r="H10" s="71">
        <v>46149</v>
      </c>
      <c r="I10" s="71">
        <v>46155</v>
      </c>
      <c r="J10" s="71">
        <v>46156</v>
      </c>
      <c r="K10" s="71">
        <v>46162</v>
      </c>
      <c r="L10" s="71">
        <v>46163</v>
      </c>
      <c r="M10" s="72">
        <v>46169</v>
      </c>
      <c r="N10" s="73">
        <v>46170</v>
      </c>
      <c r="O10" s="171"/>
      <c r="P10" s="118">
        <v>1.1000000000000001</v>
      </c>
      <c r="Q10" s="106">
        <v>1.2</v>
      </c>
      <c r="R10" s="107">
        <v>1.3</v>
      </c>
      <c r="S10" s="107">
        <v>1.4</v>
      </c>
      <c r="T10" s="107">
        <v>1.5</v>
      </c>
      <c r="U10" s="107">
        <v>1.6</v>
      </c>
      <c r="V10" s="108">
        <v>1.7</v>
      </c>
      <c r="W10" s="88">
        <v>0.25</v>
      </c>
      <c r="X10" s="122">
        <v>1.1000000000000001</v>
      </c>
      <c r="Y10" s="123">
        <v>1.2</v>
      </c>
      <c r="Z10" s="124">
        <v>1.3</v>
      </c>
      <c r="AA10" s="88">
        <v>0.25</v>
      </c>
      <c r="AB10" s="80">
        <v>1.1000000000000001</v>
      </c>
      <c r="AC10" s="92">
        <v>0.25</v>
      </c>
      <c r="AD10" s="80">
        <v>1.1000000000000001</v>
      </c>
      <c r="AE10" s="88">
        <v>0.25</v>
      </c>
      <c r="AF10" s="167"/>
    </row>
    <row r="11" spans="2:42" ht="15" customHeight="1">
      <c r="B11" s="45">
        <v>1</v>
      </c>
      <c r="C11" s="46">
        <v>23001511</v>
      </c>
      <c r="D11" s="47" t="s">
        <v>20</v>
      </c>
      <c r="E11" s="48">
        <v>0</v>
      </c>
      <c r="F11" s="49">
        <v>0</v>
      </c>
      <c r="G11" s="104">
        <v>1</v>
      </c>
      <c r="H11" s="104">
        <v>1</v>
      </c>
      <c r="I11" s="104">
        <v>1</v>
      </c>
      <c r="J11" s="50">
        <v>0</v>
      </c>
      <c r="K11" s="50">
        <v>0</v>
      </c>
      <c r="L11" s="104">
        <v>1</v>
      </c>
      <c r="M11" s="81"/>
      <c r="N11" s="51"/>
      <c r="O11" s="113">
        <f>SUM(E11:N11)</f>
        <v>4</v>
      </c>
      <c r="P11" s="45">
        <v>6</v>
      </c>
      <c r="Q11" s="117">
        <v>0</v>
      </c>
      <c r="R11" s="117">
        <v>0</v>
      </c>
      <c r="S11" s="128">
        <v>0</v>
      </c>
      <c r="T11" s="128">
        <v>0</v>
      </c>
      <c r="U11" s="128">
        <v>0</v>
      </c>
      <c r="V11" s="130">
        <v>0</v>
      </c>
      <c r="W11" s="119" cm="1">
        <f t="array" ref="W11">SUM((P11:V11)*25)/70</f>
        <v>2.1428571428571428</v>
      </c>
      <c r="X11" s="109">
        <v>0</v>
      </c>
      <c r="Y11" s="117">
        <v>0</v>
      </c>
      <c r="Z11" s="130">
        <v>0</v>
      </c>
      <c r="AA11" s="89" cm="1">
        <f t="array" ref="AA11">SUM((X11:Z11)*25)/30</f>
        <v>0</v>
      </c>
      <c r="AB11" s="55"/>
      <c r="AC11" s="89"/>
      <c r="AD11" s="55"/>
      <c r="AE11" s="134"/>
      <c r="AF11" s="93">
        <f>(AE11+AC11+AA11+W11)/10</f>
        <v>0.21428571428571427</v>
      </c>
    </row>
    <row r="12" spans="2:42" ht="15" customHeight="1">
      <c r="B12" s="11">
        <f>B11+1</f>
        <v>2</v>
      </c>
      <c r="C12" s="8">
        <v>23001521</v>
      </c>
      <c r="D12" s="9" t="s">
        <v>21</v>
      </c>
      <c r="E12" s="16">
        <v>0</v>
      </c>
      <c r="F12" s="17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82"/>
      <c r="N12" s="35"/>
      <c r="O12" s="114">
        <f t="shared" ref="O12:O34" si="0">SUM(E12:N12)</f>
        <v>0</v>
      </c>
      <c r="P12" s="11">
        <v>9</v>
      </c>
      <c r="Q12" s="7">
        <v>10</v>
      </c>
      <c r="R12" s="7">
        <v>9</v>
      </c>
      <c r="S12" s="116">
        <v>10</v>
      </c>
      <c r="T12" s="116">
        <v>10</v>
      </c>
      <c r="U12" s="7">
        <v>9</v>
      </c>
      <c r="V12" s="110">
        <v>9</v>
      </c>
      <c r="W12" s="120" cm="1">
        <f t="array" ref="W12">SUM((P12:V12)*25)/70</f>
        <v>23.571428571428573</v>
      </c>
      <c r="X12" s="11">
        <v>10</v>
      </c>
      <c r="Y12" s="7">
        <v>10</v>
      </c>
      <c r="Z12" s="110">
        <v>10</v>
      </c>
      <c r="AA12" s="90" cm="1">
        <f t="array" ref="AA12">SUM((X12:Z12)*25)/30</f>
        <v>25</v>
      </c>
      <c r="AB12" s="43"/>
      <c r="AC12" s="90"/>
      <c r="AD12" s="43"/>
      <c r="AE12" s="135"/>
      <c r="AF12" s="137">
        <f t="shared" ref="AF12:AF34" si="1">(AE12+AC12+AA12+W12)/10</f>
        <v>4.8571428571428568</v>
      </c>
      <c r="AL12" s="12"/>
    </row>
    <row r="13" spans="2:42" ht="15" customHeight="1">
      <c r="B13" s="11">
        <v>3</v>
      </c>
      <c r="C13" s="8">
        <v>23001496</v>
      </c>
      <c r="D13" s="9" t="s">
        <v>22</v>
      </c>
      <c r="E13" s="16">
        <v>0</v>
      </c>
      <c r="F13" s="17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82"/>
      <c r="N13" s="35"/>
      <c r="O13" s="114">
        <f t="shared" si="0"/>
        <v>0</v>
      </c>
      <c r="P13" s="11">
        <v>7</v>
      </c>
      <c r="Q13" s="7">
        <v>9</v>
      </c>
      <c r="R13" s="7">
        <v>9</v>
      </c>
      <c r="S13" s="116">
        <v>10</v>
      </c>
      <c r="T13" s="116">
        <v>10</v>
      </c>
      <c r="U13" s="7">
        <v>10</v>
      </c>
      <c r="V13" s="110">
        <v>10</v>
      </c>
      <c r="W13" s="120" cm="1">
        <f t="array" ref="W13">SUM((P13:V13)*25)/70</f>
        <v>23.214285714285715</v>
      </c>
      <c r="X13" s="11">
        <v>9</v>
      </c>
      <c r="Y13" s="7">
        <v>10</v>
      </c>
      <c r="Z13" s="110">
        <v>10</v>
      </c>
      <c r="AA13" s="90" cm="1">
        <f t="array" ref="AA13">SUM((X13:Z13)*25)/30</f>
        <v>24.166666666666668</v>
      </c>
      <c r="AB13" s="43"/>
      <c r="AC13" s="90"/>
      <c r="AD13" s="43"/>
      <c r="AE13" s="135"/>
      <c r="AF13" s="137">
        <f t="shared" si="1"/>
        <v>4.7380952380952381</v>
      </c>
      <c r="AL13" s="12"/>
      <c r="AP13" s="12"/>
    </row>
    <row r="14" spans="2:42" ht="15" customHeight="1">
      <c r="B14" s="11">
        <f>B13+1</f>
        <v>4</v>
      </c>
      <c r="C14" s="8">
        <v>23001488</v>
      </c>
      <c r="D14" s="9" t="s">
        <v>23</v>
      </c>
      <c r="E14" s="16">
        <v>0</v>
      </c>
      <c r="F14" s="17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82"/>
      <c r="N14" s="35"/>
      <c r="O14" s="114">
        <f t="shared" si="0"/>
        <v>0</v>
      </c>
      <c r="P14" s="11">
        <v>10</v>
      </c>
      <c r="Q14" s="7">
        <v>10</v>
      </c>
      <c r="R14" s="7">
        <v>10</v>
      </c>
      <c r="S14" s="116">
        <v>10</v>
      </c>
      <c r="T14" s="116">
        <v>10</v>
      </c>
      <c r="U14" s="7">
        <v>10</v>
      </c>
      <c r="V14" s="110">
        <v>10</v>
      </c>
      <c r="W14" s="120" cm="1">
        <f t="array" ref="W14">SUM((P14:V14)*25)/70</f>
        <v>25</v>
      </c>
      <c r="X14" s="11">
        <v>10</v>
      </c>
      <c r="Y14" s="7">
        <v>10</v>
      </c>
      <c r="Z14" s="110">
        <v>10</v>
      </c>
      <c r="AA14" s="90" cm="1">
        <f t="array" ref="AA14">SUM((X14:Z14)*25)/30</f>
        <v>25</v>
      </c>
      <c r="AB14" s="43"/>
      <c r="AC14" s="90"/>
      <c r="AD14" s="43"/>
      <c r="AE14" s="135"/>
      <c r="AF14" s="137">
        <f t="shared" si="1"/>
        <v>5</v>
      </c>
      <c r="AL14" s="12"/>
      <c r="AP14" s="12"/>
    </row>
    <row r="15" spans="2:42" ht="15" customHeight="1">
      <c r="B15" s="11">
        <f>B14+1</f>
        <v>5</v>
      </c>
      <c r="C15" s="8">
        <v>23001065</v>
      </c>
      <c r="D15" s="9" t="s">
        <v>24</v>
      </c>
      <c r="E15" s="16">
        <v>0</v>
      </c>
      <c r="F15" s="17">
        <v>0</v>
      </c>
      <c r="G15" s="26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82"/>
      <c r="N15" s="35"/>
      <c r="O15" s="114">
        <f t="shared" si="0"/>
        <v>0</v>
      </c>
      <c r="P15" s="11">
        <v>10</v>
      </c>
      <c r="Q15" s="7">
        <v>9</v>
      </c>
      <c r="R15" s="105">
        <v>0</v>
      </c>
      <c r="S15" s="127">
        <v>0</v>
      </c>
      <c r="T15" s="116">
        <v>10</v>
      </c>
      <c r="U15" s="105">
        <v>0</v>
      </c>
      <c r="V15" s="110">
        <v>10</v>
      </c>
      <c r="W15" s="120" cm="1">
        <f t="array" ref="W15">SUM((P15:V15)*25)/70</f>
        <v>13.928571428571429</v>
      </c>
      <c r="X15" s="11">
        <v>10</v>
      </c>
      <c r="Y15" s="105">
        <v>0</v>
      </c>
      <c r="Z15" s="133">
        <v>0</v>
      </c>
      <c r="AA15" s="90" cm="1">
        <f t="array" ref="AA15">SUM((X15:Z15)*25)/30</f>
        <v>8.3333333333333339</v>
      </c>
      <c r="AB15" s="43"/>
      <c r="AC15" s="90"/>
      <c r="AD15" s="43"/>
      <c r="AE15" s="135"/>
      <c r="AF15" s="137">
        <f t="shared" si="1"/>
        <v>2.2261904761904763</v>
      </c>
      <c r="AL15" s="12"/>
      <c r="AP15" s="12"/>
    </row>
    <row r="16" spans="2:42" ht="15" customHeight="1">
      <c r="B16" s="11">
        <f>B15+1</f>
        <v>6</v>
      </c>
      <c r="C16" s="8">
        <v>23001491</v>
      </c>
      <c r="D16" s="9" t="s">
        <v>25</v>
      </c>
      <c r="E16" s="16">
        <v>0</v>
      </c>
      <c r="F16" s="10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82"/>
      <c r="N16" s="35"/>
      <c r="O16" s="114">
        <f t="shared" si="0"/>
        <v>1</v>
      </c>
      <c r="P16" s="11">
        <v>10</v>
      </c>
      <c r="Q16" s="7">
        <v>10</v>
      </c>
      <c r="R16" s="7">
        <v>10</v>
      </c>
      <c r="S16" s="116">
        <v>10</v>
      </c>
      <c r="T16" s="116">
        <v>10</v>
      </c>
      <c r="U16" s="7">
        <v>10</v>
      </c>
      <c r="V16" s="110">
        <v>8</v>
      </c>
      <c r="W16" s="120" cm="1">
        <f t="array" ref="W16">SUM((P16:V16)*25)/70</f>
        <v>24.285714285714285</v>
      </c>
      <c r="X16" s="11">
        <v>10</v>
      </c>
      <c r="Y16" s="7">
        <v>10</v>
      </c>
      <c r="Z16" s="110">
        <v>10</v>
      </c>
      <c r="AA16" s="90" cm="1">
        <f t="array" ref="AA16">SUM((X16:Z16)*25)/30</f>
        <v>25</v>
      </c>
      <c r="AB16" s="43"/>
      <c r="AC16" s="90"/>
      <c r="AD16" s="43"/>
      <c r="AE16" s="135"/>
      <c r="AF16" s="137">
        <f>(AE16+AC16+AA16+W16)/10</f>
        <v>4.9285714285714288</v>
      </c>
      <c r="AL16" s="12"/>
      <c r="AP16" s="12"/>
    </row>
    <row r="17" spans="2:42" ht="15" customHeight="1">
      <c r="B17" s="11">
        <f>B16+1</f>
        <v>7</v>
      </c>
      <c r="C17" s="8">
        <v>23001358</v>
      </c>
      <c r="D17" s="9" t="s">
        <v>26</v>
      </c>
      <c r="E17" s="16">
        <v>0</v>
      </c>
      <c r="F17" s="17">
        <v>0</v>
      </c>
      <c r="G17" s="10">
        <v>0</v>
      </c>
      <c r="H17" s="10">
        <v>0</v>
      </c>
      <c r="I17" s="126">
        <v>1</v>
      </c>
      <c r="J17" s="10">
        <v>0</v>
      </c>
      <c r="K17" s="10">
        <v>0</v>
      </c>
      <c r="L17" s="10">
        <v>1</v>
      </c>
      <c r="M17" s="82"/>
      <c r="N17" s="35"/>
      <c r="O17" s="114">
        <f t="shared" si="0"/>
        <v>2</v>
      </c>
      <c r="P17" s="11">
        <v>9</v>
      </c>
      <c r="Q17" s="105">
        <v>0</v>
      </c>
      <c r="R17" s="105">
        <v>0</v>
      </c>
      <c r="S17" s="116">
        <v>10</v>
      </c>
      <c r="T17" s="127">
        <v>0</v>
      </c>
      <c r="U17" s="7">
        <v>9</v>
      </c>
      <c r="V17" s="110">
        <v>9</v>
      </c>
      <c r="W17" s="120" cm="1">
        <f t="array" ref="W17">SUM((P17:V17)*25)/70</f>
        <v>13.214285714285714</v>
      </c>
      <c r="X17" s="11">
        <v>9</v>
      </c>
      <c r="Y17" s="7">
        <v>10</v>
      </c>
      <c r="Z17" s="110">
        <v>8</v>
      </c>
      <c r="AA17" s="90" cm="1">
        <f t="array" ref="AA17">SUM((X17:Z17)*25)/30</f>
        <v>22.5</v>
      </c>
      <c r="AB17" s="43"/>
      <c r="AC17" s="90"/>
      <c r="AD17" s="43"/>
      <c r="AE17" s="135"/>
      <c r="AF17" s="137">
        <f t="shared" si="1"/>
        <v>3.5714285714285716</v>
      </c>
      <c r="AL17" s="12"/>
      <c r="AP17" s="12"/>
    </row>
    <row r="18" spans="2:42" ht="15" customHeight="1">
      <c r="B18" s="11">
        <v>8</v>
      </c>
      <c r="C18" s="8">
        <v>23001499</v>
      </c>
      <c r="D18" s="9" t="s">
        <v>27</v>
      </c>
      <c r="E18" s="16">
        <v>0</v>
      </c>
      <c r="F18" s="17">
        <v>0</v>
      </c>
      <c r="G18" s="26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82"/>
      <c r="N18" s="35"/>
      <c r="O18" s="114">
        <f t="shared" si="0"/>
        <v>0</v>
      </c>
      <c r="P18" s="11">
        <v>10</v>
      </c>
      <c r="Q18" s="7">
        <v>10</v>
      </c>
      <c r="R18" s="116">
        <v>10</v>
      </c>
      <c r="S18" s="116">
        <v>10</v>
      </c>
      <c r="T18" s="116">
        <v>10</v>
      </c>
      <c r="U18" s="7">
        <v>10</v>
      </c>
      <c r="V18" s="110">
        <v>10</v>
      </c>
      <c r="W18" s="120" cm="1">
        <f t="array" ref="W18">SUM((P18:V18)*25)/70</f>
        <v>25</v>
      </c>
      <c r="X18" s="11">
        <v>10</v>
      </c>
      <c r="Y18" s="7">
        <v>10</v>
      </c>
      <c r="Z18" s="110">
        <v>10</v>
      </c>
      <c r="AA18" s="90" cm="1">
        <f t="array" ref="AA18">SUM((X18:Z18)*25)/30</f>
        <v>25</v>
      </c>
      <c r="AB18" s="43"/>
      <c r="AC18" s="90"/>
      <c r="AD18" s="43"/>
      <c r="AE18" s="135"/>
      <c r="AF18" s="137">
        <f t="shared" si="1"/>
        <v>5</v>
      </c>
      <c r="AL18" s="12"/>
      <c r="AP18" s="12"/>
    </row>
    <row r="19" spans="2:42" ht="15" customHeight="1">
      <c r="B19" s="11">
        <v>9</v>
      </c>
      <c r="C19" s="8">
        <v>23001507</v>
      </c>
      <c r="D19" s="9" t="s">
        <v>28</v>
      </c>
      <c r="E19" s="16">
        <v>0</v>
      </c>
      <c r="F19" s="17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82"/>
      <c r="N19" s="35"/>
      <c r="O19" s="114">
        <f t="shared" si="0"/>
        <v>0</v>
      </c>
      <c r="P19" s="11">
        <v>7</v>
      </c>
      <c r="Q19" s="7">
        <v>9</v>
      </c>
      <c r="R19" s="7">
        <v>9</v>
      </c>
      <c r="S19" s="116">
        <v>10</v>
      </c>
      <c r="T19" s="127">
        <v>0</v>
      </c>
      <c r="U19" s="7">
        <v>9</v>
      </c>
      <c r="V19" s="110">
        <v>8</v>
      </c>
      <c r="W19" s="120" cm="1">
        <f t="array" ref="W19">SUM((P19:V19)*25)/70</f>
        <v>18.571428571428573</v>
      </c>
      <c r="X19" s="11">
        <v>9</v>
      </c>
      <c r="Y19" s="7">
        <v>9</v>
      </c>
      <c r="Z19" s="110">
        <v>7</v>
      </c>
      <c r="AA19" s="90" cm="1">
        <f t="array" ref="AA19">SUM((X19:Z19)*25)/30</f>
        <v>20.833333333333332</v>
      </c>
      <c r="AB19" s="43"/>
      <c r="AC19" s="90"/>
      <c r="AD19" s="43"/>
      <c r="AE19" s="135"/>
      <c r="AF19" s="137">
        <f t="shared" si="1"/>
        <v>3.9404761904761907</v>
      </c>
      <c r="AL19" s="12"/>
      <c r="AP19" s="12"/>
    </row>
    <row r="20" spans="2:42" ht="15" customHeight="1">
      <c r="B20" s="11">
        <f>B19+1</f>
        <v>10</v>
      </c>
      <c r="C20" s="8">
        <v>22001028</v>
      </c>
      <c r="D20" s="9" t="s">
        <v>29</v>
      </c>
      <c r="E20" s="16">
        <v>0</v>
      </c>
      <c r="F20" s="17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82"/>
      <c r="N20" s="35"/>
      <c r="O20" s="114">
        <f t="shared" si="0"/>
        <v>0</v>
      </c>
      <c r="P20" s="11">
        <v>9</v>
      </c>
      <c r="Q20" s="7">
        <v>9</v>
      </c>
      <c r="R20" s="7">
        <v>9</v>
      </c>
      <c r="S20" s="116">
        <v>10</v>
      </c>
      <c r="T20" s="127">
        <v>0</v>
      </c>
      <c r="U20" s="7">
        <v>9</v>
      </c>
      <c r="V20" s="110">
        <v>9</v>
      </c>
      <c r="W20" s="120" cm="1">
        <f t="array" ref="W20">SUM((P20:V20)*25)/70</f>
        <v>19.642857142857142</v>
      </c>
      <c r="X20" s="11">
        <v>10</v>
      </c>
      <c r="Y20" s="105">
        <v>0</v>
      </c>
      <c r="Z20" s="110">
        <v>9</v>
      </c>
      <c r="AA20" s="90" cm="1">
        <f t="array" ref="AA20">SUM((X20:Z20)*25)/30</f>
        <v>15.833333333333334</v>
      </c>
      <c r="AB20" s="43"/>
      <c r="AC20" s="90"/>
      <c r="AD20" s="43"/>
      <c r="AE20" s="135"/>
      <c r="AF20" s="137">
        <f t="shared" si="1"/>
        <v>3.5476190476190474</v>
      </c>
      <c r="AL20" s="12"/>
      <c r="AP20" s="12"/>
    </row>
    <row r="21" spans="2:42" ht="15" customHeight="1">
      <c r="B21" s="11">
        <f>B20+1</f>
        <v>11</v>
      </c>
      <c r="C21" s="8">
        <v>23001474</v>
      </c>
      <c r="D21" s="9" t="s">
        <v>30</v>
      </c>
      <c r="E21" s="16">
        <v>0</v>
      </c>
      <c r="F21" s="17">
        <v>0</v>
      </c>
      <c r="G21" s="10">
        <v>0</v>
      </c>
      <c r="H21" s="10">
        <v>0</v>
      </c>
      <c r="I21" s="126">
        <v>1</v>
      </c>
      <c r="J21" s="10">
        <v>0</v>
      </c>
      <c r="K21" s="10">
        <v>0</v>
      </c>
      <c r="L21" s="10">
        <v>0</v>
      </c>
      <c r="M21" s="82"/>
      <c r="N21" s="35"/>
      <c r="O21" s="114">
        <f t="shared" si="0"/>
        <v>1</v>
      </c>
      <c r="P21" s="11">
        <v>7</v>
      </c>
      <c r="Q21" s="7">
        <v>10</v>
      </c>
      <c r="R21" s="7">
        <v>10</v>
      </c>
      <c r="S21" s="116">
        <v>10</v>
      </c>
      <c r="T21" s="116">
        <v>10</v>
      </c>
      <c r="U21" s="7">
        <v>10</v>
      </c>
      <c r="V21" s="110">
        <v>10</v>
      </c>
      <c r="W21" s="120" cm="1">
        <f t="array" ref="W21">SUM((P21:V21)*25)/70</f>
        <v>23.928571428571427</v>
      </c>
      <c r="X21" s="11">
        <v>9</v>
      </c>
      <c r="Y21" s="7">
        <v>10</v>
      </c>
      <c r="Z21" s="110">
        <v>10</v>
      </c>
      <c r="AA21" s="90" cm="1">
        <f t="array" ref="AA21">SUM((X21:Z21)*25)/30</f>
        <v>24.166666666666668</v>
      </c>
      <c r="AB21" s="43"/>
      <c r="AC21" s="90"/>
      <c r="AD21" s="43"/>
      <c r="AE21" s="135"/>
      <c r="AF21" s="137">
        <f t="shared" si="1"/>
        <v>4.8095238095238093</v>
      </c>
      <c r="AL21" s="12"/>
      <c r="AP21" s="12"/>
    </row>
    <row r="22" spans="2:42" ht="15" customHeight="1">
      <c r="B22" s="11">
        <v>12</v>
      </c>
      <c r="C22" s="8">
        <v>23001506</v>
      </c>
      <c r="D22" s="9" t="s">
        <v>31</v>
      </c>
      <c r="E22" s="14">
        <v>0</v>
      </c>
      <c r="F22" s="31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83"/>
      <c r="N22" s="36"/>
      <c r="O22" s="114">
        <f t="shared" si="0"/>
        <v>0</v>
      </c>
      <c r="P22" s="11">
        <v>10</v>
      </c>
      <c r="Q22" s="7">
        <v>10</v>
      </c>
      <c r="R22" s="7">
        <v>10</v>
      </c>
      <c r="S22" s="116">
        <v>10</v>
      </c>
      <c r="T22" s="116">
        <v>10</v>
      </c>
      <c r="U22" s="7">
        <v>10</v>
      </c>
      <c r="V22" s="110">
        <v>10</v>
      </c>
      <c r="W22" s="120" cm="1">
        <f t="array" ref="W22">SUM((P22:V22)*25)/70</f>
        <v>25</v>
      </c>
      <c r="X22" s="11">
        <v>9</v>
      </c>
      <c r="Y22" s="7">
        <v>10</v>
      </c>
      <c r="Z22" s="110">
        <v>10</v>
      </c>
      <c r="AA22" s="90" cm="1">
        <f t="array" ref="AA22">SUM((X22:Z22)*25)/30</f>
        <v>24.166666666666668</v>
      </c>
      <c r="AB22" s="43"/>
      <c r="AC22" s="90"/>
      <c r="AD22" s="44"/>
      <c r="AE22" s="135"/>
      <c r="AF22" s="137">
        <f t="shared" si="1"/>
        <v>4.916666666666667</v>
      </c>
      <c r="AP22" s="12"/>
    </row>
    <row r="23" spans="2:42" ht="15.75" customHeight="1">
      <c r="B23" s="11">
        <v>13</v>
      </c>
      <c r="C23" s="8">
        <v>23001518</v>
      </c>
      <c r="D23" s="9" t="s">
        <v>32</v>
      </c>
      <c r="E23" s="14">
        <v>0</v>
      </c>
      <c r="F23" s="31">
        <v>0</v>
      </c>
      <c r="G23" s="103">
        <v>1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83"/>
      <c r="N23" s="36"/>
      <c r="O23" s="114">
        <f t="shared" si="0"/>
        <v>1</v>
      </c>
      <c r="P23" s="11">
        <v>9</v>
      </c>
      <c r="Q23" s="7">
        <v>10</v>
      </c>
      <c r="R23" s="7">
        <v>10</v>
      </c>
      <c r="S23" s="116">
        <v>10</v>
      </c>
      <c r="T23" s="116">
        <v>10</v>
      </c>
      <c r="U23" s="7">
        <v>10</v>
      </c>
      <c r="V23" s="110">
        <v>10</v>
      </c>
      <c r="W23" s="120" cm="1">
        <f t="array" ref="W23">SUM((P23:V23)*25)/70</f>
        <v>24.642857142857142</v>
      </c>
      <c r="X23" s="11">
        <v>9</v>
      </c>
      <c r="Y23" s="7">
        <v>10</v>
      </c>
      <c r="Z23" s="110">
        <v>10</v>
      </c>
      <c r="AA23" s="90" cm="1">
        <f t="array" ref="AA23">SUM((X23:Z23)*25)/30</f>
        <v>24.166666666666668</v>
      </c>
      <c r="AB23" s="43"/>
      <c r="AC23" s="90"/>
      <c r="AD23" s="43"/>
      <c r="AE23" s="135"/>
      <c r="AF23" s="137">
        <f t="shared" si="1"/>
        <v>4.8809523809523814</v>
      </c>
      <c r="AN23" s="12"/>
      <c r="AP23" s="12"/>
    </row>
    <row r="24" spans="2:42" ht="15.75" customHeight="1">
      <c r="B24" s="11">
        <v>14</v>
      </c>
      <c r="C24" s="8">
        <v>22002496</v>
      </c>
      <c r="D24" s="9" t="s">
        <v>33</v>
      </c>
      <c r="E24" s="14">
        <v>0</v>
      </c>
      <c r="F24" s="101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83"/>
      <c r="N24" s="36"/>
      <c r="O24" s="114">
        <f t="shared" si="0"/>
        <v>1</v>
      </c>
      <c r="P24" s="11">
        <v>10</v>
      </c>
      <c r="Q24" s="7">
        <v>10</v>
      </c>
      <c r="R24" s="7">
        <v>10</v>
      </c>
      <c r="S24" s="116">
        <v>10</v>
      </c>
      <c r="T24" s="116">
        <v>10</v>
      </c>
      <c r="U24" s="7">
        <v>10</v>
      </c>
      <c r="V24" s="110">
        <v>10</v>
      </c>
      <c r="W24" s="120" cm="1">
        <f t="array" ref="W24">SUM((P24:V24)*25)/70</f>
        <v>25</v>
      </c>
      <c r="X24" s="11">
        <v>10</v>
      </c>
      <c r="Y24" s="105">
        <v>0</v>
      </c>
      <c r="Z24" s="110">
        <v>7</v>
      </c>
      <c r="AA24" s="90" cm="1">
        <f t="array" ref="AA24">SUM((X24:Z24)*25)/30</f>
        <v>14.166666666666666</v>
      </c>
      <c r="AB24" s="43"/>
      <c r="AC24" s="90"/>
      <c r="AD24" s="43"/>
      <c r="AE24" s="135"/>
      <c r="AF24" s="137">
        <f t="shared" si="1"/>
        <v>3.9166666666666665</v>
      </c>
      <c r="AN24" s="12"/>
      <c r="AP24" s="12"/>
    </row>
    <row r="25" spans="2:42" ht="15.75" customHeight="1">
      <c r="B25" s="11">
        <v>15</v>
      </c>
      <c r="C25" s="8">
        <v>23001468</v>
      </c>
      <c r="D25" s="9" t="s">
        <v>34</v>
      </c>
      <c r="E25" s="14">
        <v>0</v>
      </c>
      <c r="F25" s="31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83"/>
      <c r="N25" s="36"/>
      <c r="O25" s="114">
        <f t="shared" si="0"/>
        <v>0</v>
      </c>
      <c r="P25" s="11">
        <v>10</v>
      </c>
      <c r="Q25" s="7">
        <v>10</v>
      </c>
      <c r="R25" s="7">
        <v>10</v>
      </c>
      <c r="S25" s="116">
        <v>10</v>
      </c>
      <c r="T25" s="116">
        <v>10</v>
      </c>
      <c r="U25" s="7">
        <v>10</v>
      </c>
      <c r="V25" s="110">
        <v>10</v>
      </c>
      <c r="W25" s="120" cm="1">
        <f t="array" ref="W25">SUM((P25:V25)*25)/70</f>
        <v>25</v>
      </c>
      <c r="X25" s="11">
        <v>10</v>
      </c>
      <c r="Y25" s="7">
        <v>10</v>
      </c>
      <c r="Z25" s="110">
        <v>7</v>
      </c>
      <c r="AA25" s="90" cm="1">
        <f t="array" ref="AA25">SUM((X25:Z25)*25)/30</f>
        <v>22.5</v>
      </c>
      <c r="AB25" s="43"/>
      <c r="AC25" s="90"/>
      <c r="AD25" s="43"/>
      <c r="AE25" s="135"/>
      <c r="AF25" s="137">
        <f t="shared" si="1"/>
        <v>4.75</v>
      </c>
      <c r="AN25" s="12"/>
      <c r="AP25" s="12"/>
    </row>
    <row r="26" spans="2:42" ht="15.75" customHeight="1">
      <c r="B26" s="11">
        <v>16</v>
      </c>
      <c r="C26" s="8">
        <v>23001508</v>
      </c>
      <c r="D26" s="9" t="s">
        <v>35</v>
      </c>
      <c r="E26" s="14">
        <v>0</v>
      </c>
      <c r="F26" s="31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83"/>
      <c r="N26" s="36"/>
      <c r="O26" s="114">
        <f t="shared" si="0"/>
        <v>0</v>
      </c>
      <c r="P26" s="11">
        <v>10</v>
      </c>
      <c r="Q26" s="7">
        <v>10</v>
      </c>
      <c r="R26" s="7">
        <v>10</v>
      </c>
      <c r="S26" s="116">
        <v>10</v>
      </c>
      <c r="T26" s="116">
        <v>10</v>
      </c>
      <c r="U26" s="7">
        <v>10</v>
      </c>
      <c r="V26" s="110">
        <v>10</v>
      </c>
      <c r="W26" s="120" cm="1">
        <f t="array" ref="W26">SUM((P26:V26)*25)/70</f>
        <v>25</v>
      </c>
      <c r="X26" s="11">
        <v>10</v>
      </c>
      <c r="Y26" s="7">
        <v>10</v>
      </c>
      <c r="Z26" s="110">
        <v>10</v>
      </c>
      <c r="AA26" s="90" cm="1">
        <f t="array" ref="AA26">SUM((X26:Z26)*25)/30</f>
        <v>25</v>
      </c>
      <c r="AB26" s="43"/>
      <c r="AC26" s="90"/>
      <c r="AD26" s="43"/>
      <c r="AE26" s="135"/>
      <c r="AF26" s="137">
        <f t="shared" si="1"/>
        <v>5</v>
      </c>
      <c r="AN26" s="12"/>
      <c r="AP26" s="12"/>
    </row>
    <row r="27" spans="2:42" ht="15.75" customHeight="1">
      <c r="B27" s="11">
        <v>17</v>
      </c>
      <c r="C27" s="8">
        <v>23001523</v>
      </c>
      <c r="D27" s="9" t="s">
        <v>36</v>
      </c>
      <c r="E27" s="14">
        <v>0</v>
      </c>
      <c r="F27" s="31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83"/>
      <c r="N27" s="36"/>
      <c r="O27" s="114">
        <f t="shared" si="0"/>
        <v>0</v>
      </c>
      <c r="P27" s="11">
        <v>10</v>
      </c>
      <c r="Q27" s="105">
        <v>0</v>
      </c>
      <c r="R27" s="7">
        <v>10</v>
      </c>
      <c r="S27" s="116">
        <v>10</v>
      </c>
      <c r="T27" s="116">
        <v>10</v>
      </c>
      <c r="U27" s="7">
        <v>10</v>
      </c>
      <c r="V27" s="110">
        <v>9</v>
      </c>
      <c r="W27" s="120" cm="1">
        <f t="array" ref="W27">SUM((P27:V27)*25)/70</f>
        <v>21.071428571428573</v>
      </c>
      <c r="X27" s="11">
        <v>10</v>
      </c>
      <c r="Y27" s="7">
        <v>10</v>
      </c>
      <c r="Z27" s="110">
        <v>10</v>
      </c>
      <c r="AA27" s="90" cm="1">
        <f t="array" ref="AA27">SUM((X27:Z27)*25)/30</f>
        <v>25</v>
      </c>
      <c r="AB27" s="43"/>
      <c r="AC27" s="90"/>
      <c r="AD27" s="43"/>
      <c r="AE27" s="135"/>
      <c r="AF27" s="137">
        <f t="shared" si="1"/>
        <v>4.6071428571428568</v>
      </c>
      <c r="AN27" s="12"/>
      <c r="AP27" s="12"/>
    </row>
    <row r="28" spans="2:42" ht="15" customHeight="1">
      <c r="B28" s="11">
        <v>18</v>
      </c>
      <c r="C28" s="8">
        <v>21002445</v>
      </c>
      <c r="D28" s="9" t="s">
        <v>37</v>
      </c>
      <c r="E28" s="14">
        <v>0</v>
      </c>
      <c r="F28" s="101">
        <v>1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83"/>
      <c r="N28" s="36"/>
      <c r="O28" s="114">
        <f t="shared" si="0"/>
        <v>1</v>
      </c>
      <c r="P28" s="11">
        <v>10</v>
      </c>
      <c r="Q28" s="7">
        <v>10</v>
      </c>
      <c r="R28" s="7">
        <v>5</v>
      </c>
      <c r="S28" s="116">
        <v>10</v>
      </c>
      <c r="T28" s="116">
        <v>10</v>
      </c>
      <c r="U28" s="105">
        <v>0</v>
      </c>
      <c r="V28" s="110">
        <v>10</v>
      </c>
      <c r="W28" s="120" cm="1">
        <f t="array" ref="W28">SUM((P28:V28)*25)/70</f>
        <v>19.642857142857142</v>
      </c>
      <c r="X28" s="111">
        <v>0</v>
      </c>
      <c r="Y28" s="7">
        <v>10</v>
      </c>
      <c r="Z28" s="110">
        <v>10</v>
      </c>
      <c r="AA28" s="90" cm="1">
        <f t="array" ref="AA28">SUM((X28:Z28)*25)/30</f>
        <v>16.666666666666668</v>
      </c>
      <c r="AB28" s="43"/>
      <c r="AC28" s="90"/>
      <c r="AD28" s="43"/>
      <c r="AE28" s="135"/>
      <c r="AF28" s="137">
        <f t="shared" si="1"/>
        <v>3.6309523809523809</v>
      </c>
      <c r="AP28" s="12"/>
    </row>
    <row r="29" spans="2:42" ht="15" customHeight="1">
      <c r="B29" s="11">
        <v>19</v>
      </c>
      <c r="C29" s="8">
        <v>23000643</v>
      </c>
      <c r="D29" s="9" t="s">
        <v>38</v>
      </c>
      <c r="E29" s="14">
        <v>0</v>
      </c>
      <c r="F29" s="31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83"/>
      <c r="N29" s="36"/>
      <c r="O29" s="114">
        <f t="shared" si="0"/>
        <v>0</v>
      </c>
      <c r="P29" s="11">
        <v>7</v>
      </c>
      <c r="Q29" s="7">
        <v>10</v>
      </c>
      <c r="R29" s="7">
        <v>10</v>
      </c>
      <c r="S29" s="116">
        <v>10</v>
      </c>
      <c r="T29" s="116">
        <v>10</v>
      </c>
      <c r="U29" s="7">
        <v>10</v>
      </c>
      <c r="V29" s="131">
        <v>0</v>
      </c>
      <c r="W29" s="120" cm="1">
        <f t="array" ref="W29">SUM((P29:V29)*25)/70</f>
        <v>20.357142857142858</v>
      </c>
      <c r="X29" s="11">
        <v>9</v>
      </c>
      <c r="Y29" s="7">
        <v>10</v>
      </c>
      <c r="Z29" s="133">
        <v>0</v>
      </c>
      <c r="AA29" s="90" cm="1">
        <f t="array" ref="AA29">SUM((X29:Z29)*25)/30</f>
        <v>15.833333333333334</v>
      </c>
      <c r="AB29" s="43"/>
      <c r="AC29" s="90"/>
      <c r="AD29" s="43"/>
      <c r="AE29" s="135"/>
      <c r="AF29" s="137">
        <f t="shared" si="1"/>
        <v>3.6190476190476191</v>
      </c>
      <c r="AP29" s="12"/>
    </row>
    <row r="30" spans="2:42" ht="15" customHeight="1">
      <c r="B30" s="11">
        <v>20</v>
      </c>
      <c r="C30" s="8">
        <v>22001418</v>
      </c>
      <c r="D30" s="9" t="s">
        <v>39</v>
      </c>
      <c r="E30" s="14">
        <v>0</v>
      </c>
      <c r="F30" s="31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83"/>
      <c r="N30" s="36"/>
      <c r="O30" s="114">
        <f t="shared" si="0"/>
        <v>0</v>
      </c>
      <c r="P30" s="11">
        <v>10</v>
      </c>
      <c r="Q30" s="7">
        <v>9</v>
      </c>
      <c r="R30" s="7">
        <v>9</v>
      </c>
      <c r="S30" s="116">
        <v>10</v>
      </c>
      <c r="T30" s="116">
        <v>10</v>
      </c>
      <c r="U30" s="7">
        <v>10</v>
      </c>
      <c r="V30" s="110">
        <v>10</v>
      </c>
      <c r="W30" s="120" cm="1">
        <f t="array" ref="W30">SUM((P30:V30)*25)/70</f>
        <v>24.285714285714285</v>
      </c>
      <c r="X30" s="11">
        <v>10</v>
      </c>
      <c r="Y30" s="7">
        <v>10</v>
      </c>
      <c r="Z30" s="110">
        <v>10</v>
      </c>
      <c r="AA30" s="90" cm="1">
        <f t="array" ref="AA30">SUM((X30:Z30)*25)/30</f>
        <v>25</v>
      </c>
      <c r="AB30" s="43"/>
      <c r="AC30" s="90"/>
      <c r="AD30" s="43"/>
      <c r="AE30" s="135"/>
      <c r="AF30" s="137">
        <f t="shared" si="1"/>
        <v>4.9285714285714288</v>
      </c>
      <c r="AP30" s="12"/>
    </row>
    <row r="31" spans="2:42" ht="15" customHeight="1">
      <c r="B31" s="11">
        <v>21</v>
      </c>
      <c r="C31" s="8">
        <v>23001066</v>
      </c>
      <c r="D31" s="9" t="s">
        <v>40</v>
      </c>
      <c r="E31" s="14">
        <v>0</v>
      </c>
      <c r="F31" s="31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83"/>
      <c r="N31" s="36"/>
      <c r="O31" s="114">
        <f t="shared" si="0"/>
        <v>0</v>
      </c>
      <c r="P31" s="28">
        <v>9</v>
      </c>
      <c r="Q31" s="7">
        <v>10</v>
      </c>
      <c r="R31" s="7">
        <v>10</v>
      </c>
      <c r="S31" s="116">
        <v>10</v>
      </c>
      <c r="T31" s="116">
        <v>10</v>
      </c>
      <c r="U31" s="7">
        <v>9</v>
      </c>
      <c r="V31" s="110">
        <v>10</v>
      </c>
      <c r="W31" s="120" cm="1">
        <f t="array" ref="W31">SUM((P31:V31)*25)/70</f>
        <v>24.285714285714285</v>
      </c>
      <c r="X31" s="11">
        <v>10</v>
      </c>
      <c r="Y31" s="105">
        <v>0</v>
      </c>
      <c r="Z31" s="110">
        <v>8</v>
      </c>
      <c r="AA31" s="90" cm="1">
        <f t="array" ref="AA31">SUM((X31:Z31)*25)/30</f>
        <v>15</v>
      </c>
      <c r="AB31" s="43"/>
      <c r="AC31" s="90"/>
      <c r="AD31" s="43"/>
      <c r="AE31" s="135"/>
      <c r="AF31" s="137">
        <f t="shared" si="1"/>
        <v>3.9285714285714284</v>
      </c>
      <c r="AP31" s="12"/>
    </row>
    <row r="32" spans="2:42" ht="15" customHeight="1">
      <c r="B32" s="11">
        <v>22</v>
      </c>
      <c r="C32" s="8">
        <v>23001525</v>
      </c>
      <c r="D32" s="9" t="s">
        <v>41</v>
      </c>
      <c r="E32" s="14">
        <v>0</v>
      </c>
      <c r="F32" s="31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83"/>
      <c r="N32" s="36"/>
      <c r="O32" s="114">
        <f t="shared" si="0"/>
        <v>0</v>
      </c>
      <c r="P32" s="28">
        <v>9</v>
      </c>
      <c r="Q32" s="7">
        <v>9</v>
      </c>
      <c r="R32" s="7">
        <v>10</v>
      </c>
      <c r="S32" s="116">
        <v>10</v>
      </c>
      <c r="T32" s="116">
        <v>10</v>
      </c>
      <c r="U32" s="7">
        <v>10</v>
      </c>
      <c r="V32" s="110">
        <v>9</v>
      </c>
      <c r="W32" s="120" cm="1">
        <f t="array" ref="W32">SUM((P32:V32)*25)/70</f>
        <v>23.928571428571427</v>
      </c>
      <c r="X32" s="11">
        <v>10</v>
      </c>
      <c r="Y32" s="7">
        <v>10</v>
      </c>
      <c r="Z32" s="110">
        <v>10</v>
      </c>
      <c r="AA32" s="90" cm="1">
        <f t="array" ref="AA32">SUM((X32:Z32)*25)/30</f>
        <v>25</v>
      </c>
      <c r="AB32" s="43"/>
      <c r="AC32" s="90"/>
      <c r="AD32" s="43"/>
      <c r="AE32" s="135"/>
      <c r="AF32" s="137">
        <f t="shared" si="1"/>
        <v>4.8928571428571432</v>
      </c>
      <c r="AP32" s="12"/>
    </row>
    <row r="33" spans="2:42" ht="15" customHeight="1">
      <c r="B33" s="11">
        <v>23</v>
      </c>
      <c r="C33" s="8">
        <v>23001519</v>
      </c>
      <c r="D33" s="9" t="s">
        <v>42</v>
      </c>
      <c r="E33" s="29">
        <v>0</v>
      </c>
      <c r="F33" s="32">
        <v>0</v>
      </c>
      <c r="G33" s="103">
        <v>1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83"/>
      <c r="N33" s="36"/>
      <c r="O33" s="114">
        <f t="shared" si="0"/>
        <v>1</v>
      </c>
      <c r="P33" s="11">
        <v>10</v>
      </c>
      <c r="Q33" s="7">
        <v>10</v>
      </c>
      <c r="R33" s="7">
        <v>10</v>
      </c>
      <c r="S33" s="116">
        <v>10</v>
      </c>
      <c r="T33" s="116">
        <v>10</v>
      </c>
      <c r="U33" s="7">
        <v>10</v>
      </c>
      <c r="V33" s="131">
        <v>0</v>
      </c>
      <c r="W33" s="120" cm="1">
        <f t="array" ref="W33">SUM((P33:V33)*25)/70</f>
        <v>21.428571428571427</v>
      </c>
      <c r="X33" s="11">
        <v>10</v>
      </c>
      <c r="Y33" s="7">
        <v>10</v>
      </c>
      <c r="Z33" s="110">
        <v>10</v>
      </c>
      <c r="AA33" s="90" cm="1">
        <f t="array" ref="AA33">SUM((X33:Z33)*25)/30</f>
        <v>25</v>
      </c>
      <c r="AB33" s="43"/>
      <c r="AC33" s="90"/>
      <c r="AD33" s="43"/>
      <c r="AE33" s="135"/>
      <c r="AF33" s="137">
        <f t="shared" si="1"/>
        <v>4.6428571428571432</v>
      </c>
      <c r="AP33" s="12"/>
    </row>
    <row r="34" spans="2:42" ht="15" customHeight="1" thickBot="1">
      <c r="B34" s="21">
        <v>24</v>
      </c>
      <c r="C34" s="19">
        <v>23001503</v>
      </c>
      <c r="D34" s="20" t="s">
        <v>43</v>
      </c>
      <c r="E34" s="56">
        <v>0</v>
      </c>
      <c r="F34" s="57">
        <v>0</v>
      </c>
      <c r="G34" s="58">
        <v>0</v>
      </c>
      <c r="H34" s="59">
        <v>0</v>
      </c>
      <c r="I34" s="59">
        <v>0</v>
      </c>
      <c r="J34" s="58">
        <v>0</v>
      </c>
      <c r="K34" s="58">
        <v>0</v>
      </c>
      <c r="L34" s="58">
        <v>0</v>
      </c>
      <c r="M34" s="84"/>
      <c r="N34" s="60"/>
      <c r="O34" s="115">
        <f t="shared" si="0"/>
        <v>0</v>
      </c>
      <c r="P34" s="21">
        <v>8</v>
      </c>
      <c r="Q34" s="62">
        <v>9</v>
      </c>
      <c r="R34" s="125">
        <v>0</v>
      </c>
      <c r="S34" s="129">
        <v>10</v>
      </c>
      <c r="T34" s="129">
        <v>10</v>
      </c>
      <c r="U34" s="62">
        <v>9</v>
      </c>
      <c r="V34" s="132">
        <v>0</v>
      </c>
      <c r="W34" s="121" cm="1">
        <f t="array" ref="W34">SUM((P34:V34)*25)/70</f>
        <v>16.428571428571427</v>
      </c>
      <c r="X34" s="21">
        <v>7</v>
      </c>
      <c r="Y34" s="62">
        <v>10</v>
      </c>
      <c r="Z34" s="112">
        <v>7</v>
      </c>
      <c r="AA34" s="91" cm="1">
        <f t="array" ref="AA34">SUM((X34:Z34)*25)/30</f>
        <v>20</v>
      </c>
      <c r="AB34" s="64"/>
      <c r="AC34" s="91"/>
      <c r="AD34" s="64"/>
      <c r="AE34" s="136"/>
      <c r="AF34" s="138">
        <f t="shared" si="1"/>
        <v>3.6428571428571432</v>
      </c>
      <c r="AP34" s="12"/>
    </row>
    <row r="35" spans="2:42" ht="15.6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</sheetData>
  <mergeCells count="15">
    <mergeCell ref="X8:AA9"/>
    <mergeCell ref="AB8:AC9"/>
    <mergeCell ref="AD8:AE9"/>
    <mergeCell ref="AF8:AF10"/>
    <mergeCell ref="G9:H9"/>
    <mergeCell ref="K9:L9"/>
    <mergeCell ref="M9:N9"/>
    <mergeCell ref="O9:O10"/>
    <mergeCell ref="I9:J9"/>
    <mergeCell ref="B8:B10"/>
    <mergeCell ref="C8:C10"/>
    <mergeCell ref="D8:D10"/>
    <mergeCell ref="E8:O8"/>
    <mergeCell ref="P8:W9"/>
    <mergeCell ref="E9:F9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2:AML35"/>
  <sheetViews>
    <sheetView topLeftCell="A7" zoomScale="70" zoomScaleNormal="70" workbookViewId="0">
      <pane xSplit="4" ySplit="4" topLeftCell="E11" activePane="bottomRight" state="frozen"/>
      <selection pane="bottomRight" activeCell="L28" sqref="L28"/>
      <selection pane="bottomLeft" activeCell="A11" sqref="A11"/>
      <selection pane="topRight" activeCell="E7" sqref="E7"/>
    </sheetView>
  </sheetViews>
  <sheetFormatPr defaultColWidth="11.42578125" defaultRowHeight="15" customHeight="1"/>
  <cols>
    <col min="1" max="1" width="3.7109375" style="1" customWidth="1"/>
    <col min="2" max="2" width="3.85546875" style="1" customWidth="1"/>
    <col min="3" max="3" width="11" style="1" customWidth="1"/>
    <col min="4" max="4" width="42.140625" style="1" bestFit="1" customWidth="1"/>
    <col min="5" max="14" width="5.5703125" style="1" customWidth="1"/>
    <col min="15" max="15" width="6.42578125" style="1" customWidth="1"/>
    <col min="16" max="31" width="5.5703125" style="1" customWidth="1"/>
    <col min="32" max="32" width="7.85546875" style="1" customWidth="1"/>
    <col min="33" max="34" width="5" style="1" customWidth="1"/>
    <col min="35" max="38" width="5.140625" style="1" customWidth="1"/>
    <col min="39" max="45" width="5" style="1" customWidth="1"/>
    <col min="46" max="1026" width="11.42578125" style="1"/>
  </cols>
  <sheetData>
    <row r="2" spans="2:42" ht="15.6">
      <c r="B2" s="2" t="s">
        <v>0</v>
      </c>
    </row>
    <row r="3" spans="2:42" ht="15.6">
      <c r="B3" s="3" t="s">
        <v>1</v>
      </c>
    </row>
    <row r="4" spans="2:42" ht="15.6">
      <c r="B4" s="4" t="s">
        <v>2</v>
      </c>
    </row>
    <row r="5" spans="2:42" ht="15.6">
      <c r="B5" s="3" t="s">
        <v>3</v>
      </c>
    </row>
    <row r="6" spans="2:42" ht="15.6">
      <c r="B6" s="4" t="s">
        <v>4</v>
      </c>
    </row>
    <row r="7" spans="2:42" ht="15" customHeight="1" thickBot="1"/>
    <row r="8" spans="2:42" ht="15" customHeight="1" thickBot="1">
      <c r="B8" s="148" t="s">
        <v>5</v>
      </c>
      <c r="C8" s="151" t="s">
        <v>6</v>
      </c>
      <c r="D8" s="154" t="s">
        <v>7</v>
      </c>
      <c r="E8" s="177" t="s">
        <v>8</v>
      </c>
      <c r="F8" s="178"/>
      <c r="G8" s="178"/>
      <c r="H8" s="178"/>
      <c r="I8" s="178"/>
      <c r="J8" s="178"/>
      <c r="K8" s="178"/>
      <c r="L8" s="178"/>
      <c r="M8" s="178"/>
      <c r="N8" s="178"/>
      <c r="O8" s="179"/>
      <c r="P8" s="180" t="s">
        <v>9</v>
      </c>
      <c r="Q8" s="181"/>
      <c r="R8" s="181"/>
      <c r="S8" s="181"/>
      <c r="T8" s="181"/>
      <c r="U8" s="181"/>
      <c r="V8" s="181"/>
      <c r="W8" s="182"/>
      <c r="X8" s="186" t="s">
        <v>10</v>
      </c>
      <c r="Y8" s="187"/>
      <c r="Z8" s="187"/>
      <c r="AA8" s="188"/>
      <c r="AB8" s="192" t="s">
        <v>11</v>
      </c>
      <c r="AC8" s="192"/>
      <c r="AD8" s="192" t="s">
        <v>12</v>
      </c>
      <c r="AE8" s="192"/>
      <c r="AF8" s="172" t="s">
        <v>44</v>
      </c>
    </row>
    <row r="9" spans="2:42" ht="15.95" thickBot="1">
      <c r="B9" s="149"/>
      <c r="C9" s="152"/>
      <c r="D9" s="155"/>
      <c r="E9" s="161" t="s">
        <v>45</v>
      </c>
      <c r="F9" s="162"/>
      <c r="G9" s="168" t="s">
        <v>46</v>
      </c>
      <c r="H9" s="168"/>
      <c r="I9" s="169" t="s">
        <v>47</v>
      </c>
      <c r="J9" s="162"/>
      <c r="K9" s="168" t="s">
        <v>48</v>
      </c>
      <c r="L9" s="168"/>
      <c r="M9" s="168" t="s">
        <v>49</v>
      </c>
      <c r="N9" s="169"/>
      <c r="O9" s="175" t="s">
        <v>19</v>
      </c>
      <c r="P9" s="183"/>
      <c r="Q9" s="184"/>
      <c r="R9" s="184"/>
      <c r="S9" s="184"/>
      <c r="T9" s="184"/>
      <c r="U9" s="184"/>
      <c r="V9" s="184"/>
      <c r="W9" s="185"/>
      <c r="X9" s="189"/>
      <c r="Y9" s="190"/>
      <c r="Z9" s="190"/>
      <c r="AA9" s="191"/>
      <c r="AB9" s="193"/>
      <c r="AC9" s="193"/>
      <c r="AD9" s="193"/>
      <c r="AE9" s="193"/>
      <c r="AF9" s="173"/>
    </row>
    <row r="10" spans="2:42" ht="15.95" thickBot="1">
      <c r="B10" s="150"/>
      <c r="C10" s="153"/>
      <c r="D10" s="156"/>
      <c r="E10" s="69">
        <v>46176</v>
      </c>
      <c r="F10" s="70">
        <v>46177</v>
      </c>
      <c r="G10" s="71">
        <v>46183</v>
      </c>
      <c r="H10" s="71">
        <v>46184</v>
      </c>
      <c r="I10" s="71">
        <v>46190</v>
      </c>
      <c r="J10" s="71">
        <v>46191</v>
      </c>
      <c r="K10" s="71">
        <v>46197</v>
      </c>
      <c r="L10" s="71">
        <v>46198</v>
      </c>
      <c r="M10" s="94">
        <v>46204</v>
      </c>
      <c r="N10" s="73">
        <v>46205</v>
      </c>
      <c r="O10" s="176"/>
      <c r="P10" s="74">
        <v>2.1</v>
      </c>
      <c r="Q10" s="75">
        <v>2.2000000000000002</v>
      </c>
      <c r="R10" s="75">
        <v>2.2999999999999998</v>
      </c>
      <c r="S10" s="75">
        <v>2.4</v>
      </c>
      <c r="T10" s="75">
        <v>2.5</v>
      </c>
      <c r="U10" s="75">
        <v>2.6</v>
      </c>
      <c r="V10" s="95">
        <v>2.7</v>
      </c>
      <c r="W10" s="88">
        <v>0.25</v>
      </c>
      <c r="X10" s="77">
        <v>2.1</v>
      </c>
      <c r="Y10" s="78">
        <v>2.2000000000000002</v>
      </c>
      <c r="Z10" s="79">
        <v>2.2999999999999998</v>
      </c>
      <c r="AA10" s="88">
        <v>0.25</v>
      </c>
      <c r="AB10" s="80">
        <v>2.1</v>
      </c>
      <c r="AC10" s="88">
        <v>0.25</v>
      </c>
      <c r="AD10" s="80">
        <v>2.1</v>
      </c>
      <c r="AE10" s="88">
        <v>0.25</v>
      </c>
      <c r="AF10" s="174"/>
    </row>
    <row r="11" spans="2:42" ht="15" customHeight="1">
      <c r="B11" s="45">
        <v>1</v>
      </c>
      <c r="C11" s="46">
        <v>23001511</v>
      </c>
      <c r="D11" s="47" t="s">
        <v>20</v>
      </c>
      <c r="E11" s="48"/>
      <c r="F11" s="49"/>
      <c r="G11" s="50"/>
      <c r="H11" s="50"/>
      <c r="I11" s="50"/>
      <c r="J11" s="50"/>
      <c r="K11" s="50"/>
      <c r="L11" s="65"/>
      <c r="M11" s="81"/>
      <c r="N11" s="51"/>
      <c r="O11" s="85"/>
      <c r="P11" s="45"/>
      <c r="Q11" s="52"/>
      <c r="R11" s="52"/>
      <c r="S11" s="53"/>
      <c r="T11" s="53"/>
      <c r="U11" s="53"/>
      <c r="V11" s="54"/>
      <c r="W11" s="89"/>
      <c r="X11" s="45"/>
      <c r="Y11" s="52"/>
      <c r="Z11" s="54"/>
      <c r="AA11" s="89"/>
      <c r="AB11" s="55"/>
      <c r="AC11" s="89"/>
      <c r="AD11" s="55"/>
      <c r="AE11" s="89"/>
      <c r="AF11" s="96"/>
    </row>
    <row r="12" spans="2:42" ht="15" customHeight="1">
      <c r="B12" s="11">
        <f>B11+1</f>
        <v>2</v>
      </c>
      <c r="C12" s="8">
        <v>23001521</v>
      </c>
      <c r="D12" s="9" t="s">
        <v>21</v>
      </c>
      <c r="E12" s="16"/>
      <c r="F12" s="17"/>
      <c r="G12" s="10"/>
      <c r="H12" s="10"/>
      <c r="I12" s="10"/>
      <c r="J12" s="10"/>
      <c r="K12" s="10"/>
      <c r="L12" s="25"/>
      <c r="M12" s="82"/>
      <c r="N12" s="35"/>
      <c r="O12" s="86"/>
      <c r="P12" s="11"/>
      <c r="Q12" s="5"/>
      <c r="R12" s="5"/>
      <c r="S12" s="5"/>
      <c r="T12" s="7"/>
      <c r="U12" s="7"/>
      <c r="V12" s="38"/>
      <c r="W12" s="90"/>
      <c r="X12" s="6"/>
      <c r="Y12" s="5"/>
      <c r="Z12" s="38"/>
      <c r="AA12" s="90"/>
      <c r="AB12" s="43"/>
      <c r="AC12" s="90"/>
      <c r="AD12" s="43"/>
      <c r="AE12" s="90"/>
      <c r="AF12" s="97"/>
      <c r="AL12" s="12"/>
    </row>
    <row r="13" spans="2:42" ht="15" customHeight="1">
      <c r="B13" s="11">
        <v>3</v>
      </c>
      <c r="C13" s="8">
        <v>23001496</v>
      </c>
      <c r="D13" s="9" t="s">
        <v>22</v>
      </c>
      <c r="E13" s="16"/>
      <c r="F13" s="17"/>
      <c r="G13" s="10"/>
      <c r="H13" s="10"/>
      <c r="I13" s="10"/>
      <c r="J13" s="10"/>
      <c r="K13" s="10"/>
      <c r="L13" s="25"/>
      <c r="M13" s="82"/>
      <c r="N13" s="35"/>
      <c r="O13" s="86"/>
      <c r="P13" s="11"/>
      <c r="Q13" s="5"/>
      <c r="R13" s="5"/>
      <c r="S13" s="5"/>
      <c r="T13" s="7"/>
      <c r="U13" s="7"/>
      <c r="V13" s="38"/>
      <c r="W13" s="90"/>
      <c r="X13" s="6"/>
      <c r="Y13" s="5"/>
      <c r="Z13" s="38"/>
      <c r="AA13" s="90"/>
      <c r="AB13" s="43"/>
      <c r="AC13" s="90"/>
      <c r="AD13" s="43"/>
      <c r="AE13" s="90"/>
      <c r="AF13" s="97"/>
      <c r="AL13" s="12"/>
      <c r="AP13" s="12"/>
    </row>
    <row r="14" spans="2:42" ht="15" customHeight="1">
      <c r="B14" s="11">
        <f>B13+1</f>
        <v>4</v>
      </c>
      <c r="C14" s="8">
        <v>23001488</v>
      </c>
      <c r="D14" s="9" t="s">
        <v>23</v>
      </c>
      <c r="E14" s="16"/>
      <c r="F14" s="17"/>
      <c r="G14" s="10"/>
      <c r="H14" s="10"/>
      <c r="I14" s="10"/>
      <c r="J14" s="10"/>
      <c r="K14" s="10"/>
      <c r="L14" s="25"/>
      <c r="M14" s="82"/>
      <c r="N14" s="35"/>
      <c r="O14" s="86"/>
      <c r="P14" s="11"/>
      <c r="Q14" s="5"/>
      <c r="R14" s="5"/>
      <c r="S14" s="5"/>
      <c r="T14" s="7"/>
      <c r="U14" s="7"/>
      <c r="V14" s="38"/>
      <c r="W14" s="90"/>
      <c r="X14" s="6"/>
      <c r="Y14" s="5"/>
      <c r="Z14" s="38"/>
      <c r="AA14" s="90"/>
      <c r="AB14" s="43"/>
      <c r="AC14" s="90"/>
      <c r="AD14" s="43"/>
      <c r="AE14" s="90"/>
      <c r="AF14" s="97"/>
      <c r="AL14" s="12"/>
      <c r="AP14" s="12"/>
    </row>
    <row r="15" spans="2:42" ht="15" customHeight="1">
      <c r="B15" s="11">
        <f>B14+1</f>
        <v>5</v>
      </c>
      <c r="C15" s="8">
        <v>23001065</v>
      </c>
      <c r="D15" s="9" t="s">
        <v>24</v>
      </c>
      <c r="E15" s="16"/>
      <c r="F15" s="17"/>
      <c r="G15" s="26"/>
      <c r="H15" s="10"/>
      <c r="I15" s="10"/>
      <c r="J15" s="10"/>
      <c r="K15" s="10"/>
      <c r="L15" s="25"/>
      <c r="M15" s="82"/>
      <c r="N15" s="35"/>
      <c r="O15" s="86"/>
      <c r="P15" s="11"/>
      <c r="Q15" s="5"/>
      <c r="R15" s="5"/>
      <c r="S15" s="5"/>
      <c r="T15" s="7"/>
      <c r="U15" s="7"/>
      <c r="V15" s="38"/>
      <c r="W15" s="90"/>
      <c r="X15" s="6"/>
      <c r="Y15" s="5"/>
      <c r="Z15" s="38"/>
      <c r="AA15" s="90"/>
      <c r="AB15" s="43"/>
      <c r="AC15" s="90"/>
      <c r="AD15" s="43"/>
      <c r="AE15" s="90"/>
      <c r="AF15" s="97"/>
      <c r="AL15" s="12"/>
      <c r="AP15" s="12"/>
    </row>
    <row r="16" spans="2:42" ht="15" customHeight="1">
      <c r="B16" s="11">
        <f>B15+1</f>
        <v>6</v>
      </c>
      <c r="C16" s="8">
        <v>23001491</v>
      </c>
      <c r="D16" s="9" t="s">
        <v>25</v>
      </c>
      <c r="E16" s="16"/>
      <c r="F16" s="17"/>
      <c r="G16" s="10"/>
      <c r="H16" s="10"/>
      <c r="I16" s="10"/>
      <c r="J16" s="10"/>
      <c r="K16" s="10"/>
      <c r="L16" s="25"/>
      <c r="M16" s="82"/>
      <c r="N16" s="35"/>
      <c r="O16" s="86"/>
      <c r="P16" s="11"/>
      <c r="Q16" s="5"/>
      <c r="R16" s="5"/>
      <c r="S16" s="5"/>
      <c r="T16" s="7"/>
      <c r="U16" s="7"/>
      <c r="V16" s="38"/>
      <c r="W16" s="90"/>
      <c r="X16" s="6"/>
      <c r="Y16" s="5"/>
      <c r="Z16" s="38"/>
      <c r="AA16" s="90"/>
      <c r="AB16" s="43"/>
      <c r="AC16" s="90"/>
      <c r="AD16" s="43"/>
      <c r="AE16" s="90"/>
      <c r="AF16" s="97"/>
      <c r="AL16" s="12"/>
      <c r="AP16" s="12"/>
    </row>
    <row r="17" spans="2:42" ht="15" customHeight="1">
      <c r="B17" s="11">
        <f>B16+1</f>
        <v>7</v>
      </c>
      <c r="C17" s="8">
        <v>23001358</v>
      </c>
      <c r="D17" s="9" t="s">
        <v>26</v>
      </c>
      <c r="E17" s="16"/>
      <c r="F17" s="17"/>
      <c r="G17" s="10"/>
      <c r="H17" s="10"/>
      <c r="I17" s="10"/>
      <c r="J17" s="10"/>
      <c r="K17" s="10"/>
      <c r="L17" s="25"/>
      <c r="M17" s="82"/>
      <c r="N17" s="35"/>
      <c r="O17" s="86"/>
      <c r="P17" s="11"/>
      <c r="Q17" s="5"/>
      <c r="R17" s="5"/>
      <c r="S17" s="5"/>
      <c r="T17" s="7"/>
      <c r="U17" s="7"/>
      <c r="V17" s="38"/>
      <c r="W17" s="90"/>
      <c r="X17" s="27"/>
      <c r="Y17" s="5"/>
      <c r="Z17" s="38"/>
      <c r="AA17" s="90"/>
      <c r="AB17" s="43"/>
      <c r="AC17" s="90"/>
      <c r="AD17" s="43"/>
      <c r="AE17" s="90"/>
      <c r="AF17" s="97"/>
      <c r="AL17" s="12"/>
      <c r="AP17" s="12"/>
    </row>
    <row r="18" spans="2:42" ht="15" customHeight="1">
      <c r="B18" s="11">
        <v>8</v>
      </c>
      <c r="C18" s="8">
        <v>23001499</v>
      </c>
      <c r="D18" s="9" t="s">
        <v>27</v>
      </c>
      <c r="E18" s="16"/>
      <c r="F18" s="17"/>
      <c r="G18" s="26"/>
      <c r="H18" s="10"/>
      <c r="I18" s="10"/>
      <c r="J18" s="10"/>
      <c r="K18" s="10"/>
      <c r="L18" s="25"/>
      <c r="M18" s="82"/>
      <c r="N18" s="35"/>
      <c r="O18" s="86"/>
      <c r="P18" s="11"/>
      <c r="Q18" s="5"/>
      <c r="R18" s="24"/>
      <c r="S18" s="5"/>
      <c r="T18" s="7"/>
      <c r="U18" s="7"/>
      <c r="V18" s="38"/>
      <c r="W18" s="90"/>
      <c r="X18" s="6"/>
      <c r="Y18" s="5"/>
      <c r="Z18" s="38"/>
      <c r="AA18" s="90"/>
      <c r="AB18" s="43"/>
      <c r="AC18" s="90"/>
      <c r="AD18" s="43"/>
      <c r="AE18" s="90"/>
      <c r="AF18" s="97"/>
      <c r="AL18" s="12"/>
      <c r="AP18" s="12"/>
    </row>
    <row r="19" spans="2:42" ht="15" customHeight="1">
      <c r="B19" s="11">
        <v>9</v>
      </c>
      <c r="C19" s="8">
        <v>23001507</v>
      </c>
      <c r="D19" s="9" t="s">
        <v>28</v>
      </c>
      <c r="E19" s="16"/>
      <c r="F19" s="17"/>
      <c r="G19" s="10"/>
      <c r="H19" s="10"/>
      <c r="I19" s="10"/>
      <c r="J19" s="10"/>
      <c r="K19" s="10"/>
      <c r="L19" s="25"/>
      <c r="M19" s="82"/>
      <c r="N19" s="35"/>
      <c r="O19" s="86"/>
      <c r="P19" s="11"/>
      <c r="Q19" s="5"/>
      <c r="R19" s="5"/>
      <c r="S19" s="5"/>
      <c r="T19" s="7"/>
      <c r="U19" s="7"/>
      <c r="V19" s="38"/>
      <c r="W19" s="90"/>
      <c r="X19" s="6"/>
      <c r="Y19" s="5"/>
      <c r="Z19" s="38"/>
      <c r="AA19" s="90"/>
      <c r="AB19" s="43"/>
      <c r="AC19" s="90"/>
      <c r="AD19" s="43"/>
      <c r="AE19" s="90"/>
      <c r="AF19" s="97"/>
      <c r="AL19" s="12"/>
      <c r="AP19" s="12"/>
    </row>
    <row r="20" spans="2:42" ht="15" customHeight="1">
      <c r="B20" s="11">
        <f>B19+1</f>
        <v>10</v>
      </c>
      <c r="C20" s="8">
        <v>22001028</v>
      </c>
      <c r="D20" s="9" t="s">
        <v>29</v>
      </c>
      <c r="E20" s="16"/>
      <c r="F20" s="17"/>
      <c r="G20" s="10"/>
      <c r="H20" s="10"/>
      <c r="I20" s="10"/>
      <c r="J20" s="10"/>
      <c r="K20" s="10"/>
      <c r="L20" s="25"/>
      <c r="M20" s="82"/>
      <c r="N20" s="35"/>
      <c r="O20" s="86"/>
      <c r="P20" s="11"/>
      <c r="Q20" s="5"/>
      <c r="R20" s="5"/>
      <c r="S20" s="5"/>
      <c r="T20" s="7"/>
      <c r="U20" s="7"/>
      <c r="V20" s="38"/>
      <c r="W20" s="90"/>
      <c r="X20" s="6"/>
      <c r="Y20" s="5"/>
      <c r="Z20" s="38"/>
      <c r="AA20" s="90"/>
      <c r="AB20" s="43"/>
      <c r="AC20" s="90"/>
      <c r="AD20" s="43"/>
      <c r="AE20" s="90"/>
      <c r="AF20" s="97"/>
      <c r="AL20" s="12"/>
      <c r="AP20" s="12"/>
    </row>
    <row r="21" spans="2:42" ht="15" customHeight="1">
      <c r="B21" s="11">
        <v>11</v>
      </c>
      <c r="C21" s="8">
        <v>23001474</v>
      </c>
      <c r="D21" s="9" t="s">
        <v>30</v>
      </c>
      <c r="E21" s="16"/>
      <c r="F21" s="17"/>
      <c r="G21" s="10"/>
      <c r="H21" s="10"/>
      <c r="I21" s="10"/>
      <c r="J21" s="10"/>
      <c r="K21" s="10"/>
      <c r="L21" s="25"/>
      <c r="M21" s="82"/>
      <c r="N21" s="35"/>
      <c r="O21" s="86"/>
      <c r="P21" s="11"/>
      <c r="Q21" s="5"/>
      <c r="R21" s="5"/>
      <c r="S21" s="5"/>
      <c r="T21" s="7"/>
      <c r="U21" s="7"/>
      <c r="V21" s="38"/>
      <c r="W21" s="90"/>
      <c r="X21" s="6"/>
      <c r="Y21" s="5"/>
      <c r="Z21" s="38"/>
      <c r="AA21" s="90"/>
      <c r="AB21" s="43"/>
      <c r="AC21" s="90"/>
      <c r="AD21" s="43"/>
      <c r="AE21" s="90"/>
      <c r="AF21" s="97"/>
      <c r="AL21" s="12"/>
      <c r="AP21" s="12"/>
    </row>
    <row r="22" spans="2:42" ht="15" customHeight="1">
      <c r="B22" s="11">
        <v>12</v>
      </c>
      <c r="C22" s="8">
        <v>23001506</v>
      </c>
      <c r="D22" s="9" t="s">
        <v>31</v>
      </c>
      <c r="E22" s="16"/>
      <c r="F22" s="17"/>
      <c r="G22" s="10"/>
      <c r="H22" s="10"/>
      <c r="I22" s="10"/>
      <c r="J22" s="10"/>
      <c r="K22" s="10"/>
      <c r="L22" s="25"/>
      <c r="M22" s="82"/>
      <c r="N22" s="35"/>
      <c r="O22" s="86"/>
      <c r="P22" s="11"/>
      <c r="Q22" s="5"/>
      <c r="R22" s="5"/>
      <c r="S22" s="5"/>
      <c r="T22" s="7"/>
      <c r="U22" s="7"/>
      <c r="V22" s="38"/>
      <c r="W22" s="90"/>
      <c r="X22" s="6"/>
      <c r="Y22" s="5"/>
      <c r="Z22" s="38"/>
      <c r="AA22" s="90"/>
      <c r="AB22" s="43"/>
      <c r="AC22" s="90"/>
      <c r="AD22" s="43"/>
      <c r="AE22" s="90"/>
      <c r="AF22" s="97"/>
      <c r="AL22" s="12"/>
      <c r="AP22" s="12"/>
    </row>
    <row r="23" spans="2:42" ht="15" customHeight="1">
      <c r="B23" s="11">
        <v>13</v>
      </c>
      <c r="C23" s="8">
        <v>23001518</v>
      </c>
      <c r="D23" s="9" t="s">
        <v>32</v>
      </c>
      <c r="E23" s="16"/>
      <c r="F23" s="17"/>
      <c r="G23" s="10"/>
      <c r="H23" s="10"/>
      <c r="I23" s="10"/>
      <c r="J23" s="10"/>
      <c r="K23" s="10"/>
      <c r="L23" s="25"/>
      <c r="M23" s="82"/>
      <c r="N23" s="35"/>
      <c r="O23" s="86"/>
      <c r="P23" s="11"/>
      <c r="Q23" s="5"/>
      <c r="R23" s="5"/>
      <c r="S23" s="5"/>
      <c r="T23" s="7"/>
      <c r="U23" s="7"/>
      <c r="V23" s="38"/>
      <c r="W23" s="90"/>
      <c r="X23" s="6"/>
      <c r="Y23" s="5"/>
      <c r="Z23" s="38"/>
      <c r="AA23" s="90"/>
      <c r="AB23" s="43"/>
      <c r="AC23" s="90"/>
      <c r="AD23" s="43"/>
      <c r="AE23" s="90"/>
      <c r="AF23" s="97"/>
      <c r="AL23" s="12"/>
      <c r="AP23" s="12"/>
    </row>
    <row r="24" spans="2:42" ht="15" customHeight="1">
      <c r="B24" s="11">
        <v>14</v>
      </c>
      <c r="C24" s="8">
        <v>22002496</v>
      </c>
      <c r="D24" s="9" t="s">
        <v>33</v>
      </c>
      <c r="E24" s="16"/>
      <c r="F24" s="17"/>
      <c r="G24" s="10"/>
      <c r="H24" s="10"/>
      <c r="I24" s="10"/>
      <c r="J24" s="10"/>
      <c r="K24" s="10"/>
      <c r="L24" s="25"/>
      <c r="M24" s="82"/>
      <c r="N24" s="35"/>
      <c r="O24" s="86"/>
      <c r="P24" s="11"/>
      <c r="Q24" s="5"/>
      <c r="R24" s="5"/>
      <c r="S24" s="5"/>
      <c r="T24" s="7"/>
      <c r="U24" s="7"/>
      <c r="V24" s="38"/>
      <c r="W24" s="90"/>
      <c r="X24" s="6"/>
      <c r="Y24" s="5"/>
      <c r="Z24" s="38"/>
      <c r="AA24" s="90"/>
      <c r="AB24" s="43"/>
      <c r="AC24" s="90"/>
      <c r="AD24" s="43"/>
      <c r="AE24" s="90"/>
      <c r="AF24" s="97"/>
      <c r="AL24" s="12"/>
      <c r="AP24" s="12"/>
    </row>
    <row r="25" spans="2:42" ht="15" customHeight="1">
      <c r="B25" s="11">
        <v>15</v>
      </c>
      <c r="C25" s="8">
        <v>23001468</v>
      </c>
      <c r="D25" s="9" t="s">
        <v>34</v>
      </c>
      <c r="E25" s="16"/>
      <c r="F25" s="17"/>
      <c r="G25" s="10"/>
      <c r="H25" s="10"/>
      <c r="I25" s="10"/>
      <c r="J25" s="10"/>
      <c r="K25" s="10"/>
      <c r="L25" s="25"/>
      <c r="M25" s="82"/>
      <c r="N25" s="35"/>
      <c r="O25" s="86"/>
      <c r="P25" s="11"/>
      <c r="Q25" s="5"/>
      <c r="R25" s="5"/>
      <c r="S25" s="5"/>
      <c r="T25" s="7"/>
      <c r="U25" s="7"/>
      <c r="V25" s="38"/>
      <c r="W25" s="90"/>
      <c r="X25" s="6"/>
      <c r="Y25" s="5"/>
      <c r="Z25" s="38"/>
      <c r="AA25" s="90"/>
      <c r="AB25" s="43"/>
      <c r="AC25" s="90"/>
      <c r="AD25" s="43"/>
      <c r="AE25" s="90"/>
      <c r="AF25" s="97"/>
      <c r="AL25" s="12"/>
      <c r="AP25" s="12"/>
    </row>
    <row r="26" spans="2:42" ht="15" customHeight="1">
      <c r="B26" s="11">
        <v>16</v>
      </c>
      <c r="C26" s="8">
        <v>23001508</v>
      </c>
      <c r="D26" s="9" t="s">
        <v>35</v>
      </c>
      <c r="E26" s="16"/>
      <c r="F26" s="17"/>
      <c r="G26" s="10"/>
      <c r="H26" s="10"/>
      <c r="I26" s="10"/>
      <c r="J26" s="10"/>
      <c r="K26" s="10"/>
      <c r="L26" s="25"/>
      <c r="M26" s="82"/>
      <c r="N26" s="35"/>
      <c r="O26" s="86"/>
      <c r="P26" s="11"/>
      <c r="Q26" s="24"/>
      <c r="R26" s="5"/>
      <c r="S26" s="5"/>
      <c r="T26" s="7"/>
      <c r="U26" s="7"/>
      <c r="V26" s="38"/>
      <c r="W26" s="90"/>
      <c r="X26" s="6"/>
      <c r="Y26" s="5"/>
      <c r="Z26" s="38"/>
      <c r="AA26" s="90"/>
      <c r="AB26" s="43"/>
      <c r="AC26" s="90"/>
      <c r="AD26" s="43"/>
      <c r="AE26" s="90"/>
      <c r="AF26" s="97"/>
      <c r="AL26" s="12"/>
      <c r="AP26" s="12"/>
    </row>
    <row r="27" spans="2:42" ht="15" customHeight="1">
      <c r="B27" s="11">
        <v>17</v>
      </c>
      <c r="C27" s="8">
        <v>23001523</v>
      </c>
      <c r="D27" s="9" t="s">
        <v>36</v>
      </c>
      <c r="E27" s="14"/>
      <c r="F27" s="31"/>
      <c r="G27" s="13"/>
      <c r="H27" s="13"/>
      <c r="I27" s="13"/>
      <c r="J27" s="13"/>
      <c r="K27" s="13"/>
      <c r="L27" s="25"/>
      <c r="M27" s="83"/>
      <c r="N27" s="36"/>
      <c r="O27" s="86"/>
      <c r="P27" s="11"/>
      <c r="Q27" s="5"/>
      <c r="R27" s="5"/>
      <c r="S27" s="5"/>
      <c r="T27" s="7"/>
      <c r="U27" s="7"/>
      <c r="V27" s="38"/>
      <c r="W27" s="90"/>
      <c r="X27" s="6"/>
      <c r="Y27" s="5"/>
      <c r="Z27" s="38"/>
      <c r="AA27" s="90"/>
      <c r="AB27" s="43"/>
      <c r="AC27" s="90"/>
      <c r="AD27" s="44"/>
      <c r="AE27" s="90"/>
      <c r="AF27" s="97"/>
      <c r="AP27" s="12"/>
    </row>
    <row r="28" spans="2:42" ht="15.75" customHeight="1">
      <c r="B28" s="11">
        <v>18</v>
      </c>
      <c r="C28" s="8">
        <v>21002445</v>
      </c>
      <c r="D28" s="9" t="s">
        <v>37</v>
      </c>
      <c r="E28" s="14"/>
      <c r="F28" s="31"/>
      <c r="G28" s="13"/>
      <c r="H28" s="13"/>
      <c r="I28" s="13"/>
      <c r="J28" s="13"/>
      <c r="K28" s="13"/>
      <c r="L28" s="25"/>
      <c r="M28" s="83"/>
      <c r="N28" s="36"/>
      <c r="O28" s="86"/>
      <c r="P28" s="11"/>
      <c r="Q28" s="5"/>
      <c r="R28" s="5"/>
      <c r="S28" s="5"/>
      <c r="T28" s="7"/>
      <c r="U28" s="7"/>
      <c r="V28" s="38"/>
      <c r="W28" s="90"/>
      <c r="X28" s="6"/>
      <c r="Y28" s="5"/>
      <c r="Z28" s="38"/>
      <c r="AA28" s="90"/>
      <c r="AB28" s="43"/>
      <c r="AC28" s="90"/>
      <c r="AD28" s="43"/>
      <c r="AE28" s="90"/>
      <c r="AF28" s="97"/>
      <c r="AN28" s="12"/>
      <c r="AP28" s="12"/>
    </row>
    <row r="29" spans="2:42" ht="15" customHeight="1">
      <c r="B29" s="11">
        <v>19</v>
      </c>
      <c r="C29" s="8">
        <v>23000643</v>
      </c>
      <c r="D29" s="9" t="s">
        <v>38</v>
      </c>
      <c r="E29" s="14"/>
      <c r="F29" s="31"/>
      <c r="G29" s="13"/>
      <c r="H29" s="13"/>
      <c r="I29" s="13"/>
      <c r="J29" s="13"/>
      <c r="K29" s="13"/>
      <c r="L29" s="25"/>
      <c r="M29" s="83"/>
      <c r="N29" s="36"/>
      <c r="O29" s="86"/>
      <c r="P29" s="11"/>
      <c r="Q29" s="5"/>
      <c r="R29" s="5"/>
      <c r="S29" s="5"/>
      <c r="T29" s="7"/>
      <c r="U29" s="7"/>
      <c r="V29" s="38"/>
      <c r="W29" s="90"/>
      <c r="X29" s="6"/>
      <c r="Y29" s="5"/>
      <c r="Z29" s="38"/>
      <c r="AA29" s="90"/>
      <c r="AB29" s="43"/>
      <c r="AC29" s="90"/>
      <c r="AD29" s="43"/>
      <c r="AE29" s="90"/>
      <c r="AF29" s="97"/>
      <c r="AP29" s="12"/>
    </row>
    <row r="30" spans="2:42" ht="15" customHeight="1">
      <c r="B30" s="11">
        <v>20</v>
      </c>
      <c r="C30" s="8">
        <v>22001418</v>
      </c>
      <c r="D30" s="9" t="s">
        <v>39</v>
      </c>
      <c r="E30" s="14"/>
      <c r="F30" s="31"/>
      <c r="G30" s="13"/>
      <c r="H30" s="13"/>
      <c r="I30" s="13"/>
      <c r="J30" s="13"/>
      <c r="K30" s="13"/>
      <c r="L30" s="25"/>
      <c r="M30" s="83"/>
      <c r="N30" s="36"/>
      <c r="O30" s="86"/>
      <c r="P30" s="11"/>
      <c r="Q30" s="5"/>
      <c r="R30" s="5"/>
      <c r="S30" s="5"/>
      <c r="T30" s="7"/>
      <c r="U30" s="7"/>
      <c r="V30" s="39"/>
      <c r="W30" s="90"/>
      <c r="X30" s="6"/>
      <c r="Y30" s="5"/>
      <c r="Z30" s="38"/>
      <c r="AA30" s="90"/>
      <c r="AB30" s="43"/>
      <c r="AC30" s="90"/>
      <c r="AD30" s="43"/>
      <c r="AE30" s="90"/>
      <c r="AF30" s="97"/>
      <c r="AP30" s="12"/>
    </row>
    <row r="31" spans="2:42" ht="15" customHeight="1">
      <c r="B31" s="11">
        <v>21</v>
      </c>
      <c r="C31" s="8">
        <v>23001066</v>
      </c>
      <c r="D31" s="9" t="s">
        <v>40</v>
      </c>
      <c r="E31" s="14"/>
      <c r="F31" s="31"/>
      <c r="G31" s="13"/>
      <c r="H31" s="13"/>
      <c r="I31" s="13"/>
      <c r="J31" s="13"/>
      <c r="K31" s="13"/>
      <c r="L31" s="25"/>
      <c r="M31" s="83"/>
      <c r="N31" s="36"/>
      <c r="O31" s="86"/>
      <c r="P31" s="11"/>
      <c r="Q31" s="5"/>
      <c r="R31" s="5"/>
      <c r="S31" s="5"/>
      <c r="T31" s="7"/>
      <c r="U31" s="7"/>
      <c r="V31" s="38"/>
      <c r="W31" s="90"/>
      <c r="X31" s="6"/>
      <c r="Y31" s="5"/>
      <c r="Z31" s="38"/>
      <c r="AA31" s="90"/>
      <c r="AB31" s="43"/>
      <c r="AC31" s="90"/>
      <c r="AD31" s="43"/>
      <c r="AE31" s="90"/>
      <c r="AF31" s="97"/>
      <c r="AP31" s="12"/>
    </row>
    <row r="32" spans="2:42" ht="15" customHeight="1">
      <c r="B32" s="11">
        <v>22</v>
      </c>
      <c r="C32" s="8">
        <v>23001525</v>
      </c>
      <c r="D32" s="9" t="s">
        <v>41</v>
      </c>
      <c r="E32" s="14"/>
      <c r="F32" s="31"/>
      <c r="G32" s="13"/>
      <c r="H32" s="13"/>
      <c r="I32" s="13"/>
      <c r="J32" s="13"/>
      <c r="K32" s="13"/>
      <c r="L32" s="25"/>
      <c r="M32" s="83"/>
      <c r="N32" s="36"/>
      <c r="O32" s="86"/>
      <c r="P32" s="28"/>
      <c r="Q32" s="5"/>
      <c r="R32" s="5"/>
      <c r="S32" s="5"/>
      <c r="T32" s="7"/>
      <c r="U32" s="7"/>
      <c r="V32" s="38"/>
      <c r="W32" s="90"/>
      <c r="X32" s="6"/>
      <c r="Y32" s="5"/>
      <c r="Z32" s="38"/>
      <c r="AA32" s="90"/>
      <c r="AB32" s="43"/>
      <c r="AC32" s="90"/>
      <c r="AD32" s="43"/>
      <c r="AE32" s="90"/>
      <c r="AF32" s="97"/>
      <c r="AP32" s="12"/>
    </row>
    <row r="33" spans="2:42" ht="15" customHeight="1">
      <c r="B33" s="11">
        <v>23</v>
      </c>
      <c r="C33" s="8">
        <v>23001519</v>
      </c>
      <c r="D33" s="9" t="s">
        <v>42</v>
      </c>
      <c r="E33" s="29"/>
      <c r="F33" s="32"/>
      <c r="G33" s="13"/>
      <c r="H33" s="13"/>
      <c r="I33" s="13"/>
      <c r="J33" s="13"/>
      <c r="K33" s="13"/>
      <c r="L33" s="25"/>
      <c r="M33" s="83"/>
      <c r="N33" s="36"/>
      <c r="O33" s="86"/>
      <c r="P33" s="11"/>
      <c r="Q33" s="5"/>
      <c r="R33" s="5"/>
      <c r="S33" s="5"/>
      <c r="T33" s="7"/>
      <c r="U33" s="7"/>
      <c r="V33" s="39"/>
      <c r="W33" s="90"/>
      <c r="X33" s="6"/>
      <c r="Y33" s="5"/>
      <c r="Z33" s="38"/>
      <c r="AA33" s="90"/>
      <c r="AB33" s="43"/>
      <c r="AC33" s="90"/>
      <c r="AD33" s="43"/>
      <c r="AE33" s="90"/>
      <c r="AF33" s="97"/>
      <c r="AP33" s="12"/>
    </row>
    <row r="34" spans="2:42" ht="15" customHeight="1" thickBot="1">
      <c r="B34" s="21">
        <v>24</v>
      </c>
      <c r="C34" s="19">
        <v>23001503</v>
      </c>
      <c r="D34" s="20" t="s">
        <v>43</v>
      </c>
      <c r="E34" s="56"/>
      <c r="F34" s="57"/>
      <c r="G34" s="58"/>
      <c r="H34" s="59"/>
      <c r="I34" s="59"/>
      <c r="J34" s="58"/>
      <c r="K34" s="58"/>
      <c r="L34" s="30"/>
      <c r="M34" s="84"/>
      <c r="N34" s="60"/>
      <c r="O34" s="87"/>
      <c r="P34" s="21"/>
      <c r="Q34" s="23"/>
      <c r="R34" s="61"/>
      <c r="S34" s="23"/>
      <c r="T34" s="62"/>
      <c r="U34" s="62"/>
      <c r="V34" s="63"/>
      <c r="W34" s="91"/>
      <c r="X34" s="22"/>
      <c r="Y34" s="23"/>
      <c r="Z34" s="63"/>
      <c r="AA34" s="91"/>
      <c r="AB34" s="64"/>
      <c r="AC34" s="91"/>
      <c r="AD34" s="64"/>
      <c r="AE34" s="91"/>
      <c r="AF34" s="98"/>
      <c r="AP34" s="12"/>
    </row>
    <row r="35" spans="2:42" ht="15.6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</sheetData>
  <mergeCells count="15">
    <mergeCell ref="AF8:AF10"/>
    <mergeCell ref="B8:B10"/>
    <mergeCell ref="C8:C10"/>
    <mergeCell ref="D8:D10"/>
    <mergeCell ref="G9:H9"/>
    <mergeCell ref="K9:L9"/>
    <mergeCell ref="M9:N9"/>
    <mergeCell ref="O9:O10"/>
    <mergeCell ref="E9:F9"/>
    <mergeCell ref="I9:J9"/>
    <mergeCell ref="E8:O8"/>
    <mergeCell ref="P8:W9"/>
    <mergeCell ref="X8:AA9"/>
    <mergeCell ref="AB8:AC9"/>
    <mergeCell ref="AD8:AE9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2:AMG35"/>
  <sheetViews>
    <sheetView topLeftCell="A7" zoomScale="70" zoomScaleNormal="70" workbookViewId="0">
      <pane xSplit="4" ySplit="4" topLeftCell="E11" activePane="bottomRight" state="frozen"/>
      <selection pane="bottomRight" activeCell="L18" sqref="L18"/>
      <selection pane="bottomLeft" activeCell="A11" sqref="A11"/>
      <selection pane="topRight" activeCell="E7" sqref="E7"/>
    </sheetView>
  </sheetViews>
  <sheetFormatPr defaultColWidth="11.42578125" defaultRowHeight="15" customHeight="1"/>
  <cols>
    <col min="1" max="1" width="3.7109375" style="1" customWidth="1"/>
    <col min="2" max="2" width="3.85546875" style="1" customWidth="1"/>
    <col min="3" max="3" width="11" style="1" customWidth="1"/>
    <col min="4" max="4" width="43.28515625" style="1" bestFit="1" customWidth="1"/>
    <col min="5" max="12" width="5.5703125" style="1" customWidth="1"/>
    <col min="13" max="13" width="6.42578125" style="1" customWidth="1"/>
    <col min="14" max="26" width="5.5703125" style="1" customWidth="1"/>
    <col min="27" max="27" width="7.5703125" style="1" customWidth="1"/>
    <col min="28" max="29" width="5" style="1" customWidth="1"/>
    <col min="30" max="33" width="5.140625" style="1" customWidth="1"/>
    <col min="34" max="40" width="5" style="1" customWidth="1"/>
    <col min="41" max="1021" width="11.42578125" style="1"/>
  </cols>
  <sheetData>
    <row r="2" spans="2:37" ht="15.6">
      <c r="B2" s="2" t="s">
        <v>0</v>
      </c>
    </row>
    <row r="3" spans="2:37" ht="15.6">
      <c r="B3" s="3" t="s">
        <v>1</v>
      </c>
    </row>
    <row r="4" spans="2:37" ht="15.6">
      <c r="B4" s="4" t="s">
        <v>2</v>
      </c>
    </row>
    <row r="5" spans="2:37" ht="15.6">
      <c r="B5" s="3" t="s">
        <v>3</v>
      </c>
    </row>
    <row r="6" spans="2:37" ht="15.6">
      <c r="B6" s="4" t="s">
        <v>4</v>
      </c>
    </row>
    <row r="7" spans="2:37" ht="15" customHeight="1" thickBot="1"/>
    <row r="8" spans="2:37" ht="15" customHeight="1" thickBot="1">
      <c r="B8" s="148" t="s">
        <v>5</v>
      </c>
      <c r="C8" s="151" t="s">
        <v>6</v>
      </c>
      <c r="D8" s="154" t="s">
        <v>7</v>
      </c>
      <c r="E8" s="157" t="s">
        <v>8</v>
      </c>
      <c r="F8" s="158"/>
      <c r="G8" s="159"/>
      <c r="H8" s="159"/>
      <c r="I8" s="159"/>
      <c r="J8" s="159"/>
      <c r="K8" s="159"/>
      <c r="L8" s="159"/>
      <c r="M8" s="160"/>
      <c r="N8" s="148" t="s">
        <v>9</v>
      </c>
      <c r="O8" s="151"/>
      <c r="P8" s="151"/>
      <c r="Q8" s="151"/>
      <c r="R8" s="151"/>
      <c r="S8" s="154"/>
      <c r="T8" s="163" t="s">
        <v>10</v>
      </c>
      <c r="U8" s="163"/>
      <c r="V8" s="163"/>
      <c r="W8" s="163" t="s">
        <v>11</v>
      </c>
      <c r="X8" s="163"/>
      <c r="Y8" s="163" t="s">
        <v>12</v>
      </c>
      <c r="Z8" s="163"/>
      <c r="AA8" s="172" t="s">
        <v>50</v>
      </c>
    </row>
    <row r="9" spans="2:37" ht="15.95" thickBot="1">
      <c r="B9" s="149"/>
      <c r="C9" s="152"/>
      <c r="D9" s="155"/>
      <c r="E9" s="161" t="s">
        <v>51</v>
      </c>
      <c r="F9" s="162"/>
      <c r="G9" s="168" t="s">
        <v>52</v>
      </c>
      <c r="H9" s="168"/>
      <c r="I9" s="169" t="s">
        <v>53</v>
      </c>
      <c r="J9" s="162"/>
      <c r="K9" s="168" t="s">
        <v>54</v>
      </c>
      <c r="L9" s="169"/>
      <c r="M9" s="194" t="s">
        <v>19</v>
      </c>
      <c r="N9" s="150"/>
      <c r="O9" s="153"/>
      <c r="P9" s="153"/>
      <c r="Q9" s="153"/>
      <c r="R9" s="153"/>
      <c r="S9" s="156"/>
      <c r="T9" s="164"/>
      <c r="U9" s="164"/>
      <c r="V9" s="164"/>
      <c r="W9" s="164"/>
      <c r="X9" s="164"/>
      <c r="Y9" s="164"/>
      <c r="Z9" s="164"/>
      <c r="AA9" s="173"/>
    </row>
    <row r="10" spans="2:37" ht="15.95" thickBot="1">
      <c r="B10" s="150"/>
      <c r="C10" s="153"/>
      <c r="D10" s="156"/>
      <c r="E10" s="69">
        <v>46211</v>
      </c>
      <c r="F10" s="70">
        <v>46212</v>
      </c>
      <c r="G10" s="71">
        <v>46218</v>
      </c>
      <c r="H10" s="71">
        <v>46219</v>
      </c>
      <c r="I10" s="71">
        <v>46239</v>
      </c>
      <c r="J10" s="71">
        <v>46240</v>
      </c>
      <c r="K10" s="71">
        <v>46246</v>
      </c>
      <c r="L10" s="73">
        <v>46247</v>
      </c>
      <c r="M10" s="171"/>
      <c r="N10" s="74">
        <v>3.1</v>
      </c>
      <c r="O10" s="75">
        <v>3.2</v>
      </c>
      <c r="P10" s="75">
        <v>3.3</v>
      </c>
      <c r="Q10" s="75">
        <v>3.4</v>
      </c>
      <c r="R10" s="76">
        <v>3.5</v>
      </c>
      <c r="S10" s="88">
        <v>0.25</v>
      </c>
      <c r="T10" s="77">
        <v>3.1</v>
      </c>
      <c r="U10" s="79">
        <v>3.2</v>
      </c>
      <c r="V10" s="92">
        <v>0.2</v>
      </c>
      <c r="W10" s="80">
        <v>3.1</v>
      </c>
      <c r="X10" s="92">
        <v>0.25</v>
      </c>
      <c r="Y10" s="80">
        <v>3.1</v>
      </c>
      <c r="Z10" s="92">
        <v>0.25</v>
      </c>
      <c r="AA10" s="174"/>
    </row>
    <row r="11" spans="2:37" ht="15" customHeight="1">
      <c r="B11" s="45">
        <v>1</v>
      </c>
      <c r="C11" s="46">
        <v>23001511</v>
      </c>
      <c r="D11" s="47" t="s">
        <v>20</v>
      </c>
      <c r="E11" s="48"/>
      <c r="F11" s="49"/>
      <c r="G11" s="50"/>
      <c r="H11" s="50"/>
      <c r="I11" s="50"/>
      <c r="J11" s="50"/>
      <c r="K11" s="81"/>
      <c r="L11" s="66"/>
      <c r="M11" s="85"/>
      <c r="N11" s="45"/>
      <c r="O11" s="52"/>
      <c r="P11" s="52"/>
      <c r="Q11" s="53"/>
      <c r="R11" s="99"/>
      <c r="S11" s="89"/>
      <c r="T11" s="45"/>
      <c r="U11" s="54"/>
      <c r="V11" s="89"/>
      <c r="W11" s="55"/>
      <c r="X11" s="89"/>
      <c r="Y11" s="55"/>
      <c r="Z11" s="89"/>
      <c r="AA11" s="96"/>
    </row>
    <row r="12" spans="2:37" ht="15" customHeight="1">
      <c r="B12" s="11">
        <f>B11+1</f>
        <v>2</v>
      </c>
      <c r="C12" s="8">
        <v>23001521</v>
      </c>
      <c r="D12" s="9" t="s">
        <v>21</v>
      </c>
      <c r="E12" s="16"/>
      <c r="F12" s="17"/>
      <c r="G12" s="10"/>
      <c r="H12" s="10"/>
      <c r="I12" s="10"/>
      <c r="J12" s="10"/>
      <c r="K12" s="82"/>
      <c r="L12" s="40"/>
      <c r="M12" s="86"/>
      <c r="N12" s="11"/>
      <c r="O12" s="5"/>
      <c r="P12" s="5"/>
      <c r="Q12" s="5"/>
      <c r="R12" s="38"/>
      <c r="S12" s="90"/>
      <c r="T12" s="6"/>
      <c r="U12" s="37"/>
      <c r="V12" s="90"/>
      <c r="W12" s="43"/>
      <c r="X12" s="90"/>
      <c r="Y12" s="43"/>
      <c r="Z12" s="90"/>
      <c r="AA12" s="97"/>
      <c r="AG12" s="12"/>
    </row>
    <row r="13" spans="2:37" ht="15" customHeight="1">
      <c r="B13" s="11">
        <f t="shared" ref="B13:B34" si="0">B12+1</f>
        <v>3</v>
      </c>
      <c r="C13" s="8">
        <v>23001496</v>
      </c>
      <c r="D13" s="9" t="s">
        <v>22</v>
      </c>
      <c r="E13" s="16"/>
      <c r="F13" s="17"/>
      <c r="G13" s="10"/>
      <c r="H13" s="10"/>
      <c r="I13" s="10"/>
      <c r="J13" s="10"/>
      <c r="K13" s="82"/>
      <c r="L13" s="40"/>
      <c r="M13" s="86"/>
      <c r="N13" s="11"/>
      <c r="O13" s="5"/>
      <c r="P13" s="5"/>
      <c r="Q13" s="5"/>
      <c r="R13" s="38"/>
      <c r="S13" s="90"/>
      <c r="T13" s="6"/>
      <c r="U13" s="37"/>
      <c r="V13" s="90"/>
      <c r="W13" s="43"/>
      <c r="X13" s="90"/>
      <c r="Y13" s="43"/>
      <c r="Z13" s="90"/>
      <c r="AA13" s="97"/>
      <c r="AG13" s="12"/>
      <c r="AK13" s="12"/>
    </row>
    <row r="14" spans="2:37" ht="15" customHeight="1">
      <c r="B14" s="11">
        <f t="shared" si="0"/>
        <v>4</v>
      </c>
      <c r="C14" s="8">
        <v>23001488</v>
      </c>
      <c r="D14" s="9" t="s">
        <v>23</v>
      </c>
      <c r="E14" s="16"/>
      <c r="F14" s="17"/>
      <c r="G14" s="10"/>
      <c r="H14" s="10"/>
      <c r="I14" s="10"/>
      <c r="J14" s="10"/>
      <c r="K14" s="82"/>
      <c r="L14" s="40"/>
      <c r="M14" s="86"/>
      <c r="N14" s="11"/>
      <c r="O14" s="5"/>
      <c r="P14" s="5"/>
      <c r="Q14" s="5"/>
      <c r="R14" s="38"/>
      <c r="S14" s="90"/>
      <c r="T14" s="6"/>
      <c r="U14" s="37"/>
      <c r="V14" s="90"/>
      <c r="W14" s="43"/>
      <c r="X14" s="90"/>
      <c r="Y14" s="43"/>
      <c r="Z14" s="90"/>
      <c r="AA14" s="97"/>
      <c r="AG14" s="12"/>
      <c r="AK14" s="12"/>
    </row>
    <row r="15" spans="2:37" ht="15" customHeight="1">
      <c r="B15" s="11">
        <f t="shared" si="0"/>
        <v>5</v>
      </c>
      <c r="C15" s="8">
        <v>23001065</v>
      </c>
      <c r="D15" s="9" t="s">
        <v>24</v>
      </c>
      <c r="E15" s="16"/>
      <c r="F15" s="17"/>
      <c r="G15" s="26"/>
      <c r="H15" s="10"/>
      <c r="I15" s="10"/>
      <c r="J15" s="10"/>
      <c r="K15" s="82"/>
      <c r="L15" s="40"/>
      <c r="M15" s="86"/>
      <c r="N15" s="11"/>
      <c r="O15" s="5"/>
      <c r="P15" s="5"/>
      <c r="Q15" s="5"/>
      <c r="R15" s="38"/>
      <c r="S15" s="90"/>
      <c r="T15" s="6"/>
      <c r="U15" s="37"/>
      <c r="V15" s="90"/>
      <c r="W15" s="43"/>
      <c r="X15" s="90"/>
      <c r="Y15" s="43"/>
      <c r="Z15" s="90"/>
      <c r="AA15" s="97"/>
      <c r="AG15" s="12"/>
      <c r="AK15" s="12"/>
    </row>
    <row r="16" spans="2:37" ht="15" customHeight="1">
      <c r="B16" s="11">
        <f t="shared" si="0"/>
        <v>6</v>
      </c>
      <c r="C16" s="8">
        <v>23001491</v>
      </c>
      <c r="D16" s="9" t="s">
        <v>25</v>
      </c>
      <c r="E16" s="16"/>
      <c r="F16" s="17"/>
      <c r="G16" s="10"/>
      <c r="H16" s="10"/>
      <c r="I16" s="10"/>
      <c r="J16" s="10"/>
      <c r="K16" s="82"/>
      <c r="L16" s="40"/>
      <c r="M16" s="86"/>
      <c r="N16" s="11"/>
      <c r="O16" s="5"/>
      <c r="P16" s="5"/>
      <c r="Q16" s="5"/>
      <c r="R16" s="38"/>
      <c r="S16" s="90"/>
      <c r="T16" s="6"/>
      <c r="U16" s="37"/>
      <c r="V16" s="90"/>
      <c r="W16" s="43"/>
      <c r="X16" s="90"/>
      <c r="Y16" s="43"/>
      <c r="Z16" s="90"/>
      <c r="AA16" s="97"/>
      <c r="AG16" s="12"/>
      <c r="AK16" s="12"/>
    </row>
    <row r="17" spans="2:37" ht="15" customHeight="1">
      <c r="B17" s="11">
        <f t="shared" si="0"/>
        <v>7</v>
      </c>
      <c r="C17" s="8">
        <v>23001358</v>
      </c>
      <c r="D17" s="9" t="s">
        <v>26</v>
      </c>
      <c r="E17" s="16"/>
      <c r="F17" s="17"/>
      <c r="G17" s="10"/>
      <c r="H17" s="10"/>
      <c r="I17" s="10"/>
      <c r="J17" s="10"/>
      <c r="K17" s="82"/>
      <c r="L17" s="40"/>
      <c r="M17" s="86"/>
      <c r="N17" s="11"/>
      <c r="O17" s="5"/>
      <c r="P17" s="5"/>
      <c r="Q17" s="5"/>
      <c r="R17" s="38"/>
      <c r="S17" s="90"/>
      <c r="T17" s="27"/>
      <c r="U17" s="37"/>
      <c r="V17" s="90"/>
      <c r="W17" s="43"/>
      <c r="X17" s="90"/>
      <c r="Y17" s="43"/>
      <c r="Z17" s="90"/>
      <c r="AA17" s="97"/>
      <c r="AG17" s="12"/>
      <c r="AK17" s="12"/>
    </row>
    <row r="18" spans="2:37" ht="15" customHeight="1">
      <c r="B18" s="11">
        <f t="shared" si="0"/>
        <v>8</v>
      </c>
      <c r="C18" s="8">
        <v>23001499</v>
      </c>
      <c r="D18" s="9" t="s">
        <v>27</v>
      </c>
      <c r="E18" s="16"/>
      <c r="F18" s="17"/>
      <c r="G18" s="26"/>
      <c r="H18" s="10"/>
      <c r="I18" s="10"/>
      <c r="J18" s="10"/>
      <c r="K18" s="82"/>
      <c r="L18" s="40"/>
      <c r="M18" s="86"/>
      <c r="N18" s="11"/>
      <c r="O18" s="5"/>
      <c r="P18" s="24"/>
      <c r="Q18" s="5"/>
      <c r="R18" s="38"/>
      <c r="S18" s="90"/>
      <c r="T18" s="6"/>
      <c r="U18" s="37"/>
      <c r="V18" s="90"/>
      <c r="W18" s="43"/>
      <c r="X18" s="90"/>
      <c r="Y18" s="43"/>
      <c r="Z18" s="90"/>
      <c r="AA18" s="97"/>
      <c r="AG18" s="12"/>
      <c r="AK18" s="12"/>
    </row>
    <row r="19" spans="2:37" ht="15" customHeight="1">
      <c r="B19" s="11">
        <f t="shared" si="0"/>
        <v>9</v>
      </c>
      <c r="C19" s="8">
        <v>23001507</v>
      </c>
      <c r="D19" s="9" t="s">
        <v>28</v>
      </c>
      <c r="E19" s="16"/>
      <c r="F19" s="17"/>
      <c r="G19" s="10"/>
      <c r="H19" s="10"/>
      <c r="I19" s="10"/>
      <c r="J19" s="10"/>
      <c r="K19" s="82"/>
      <c r="L19" s="40"/>
      <c r="M19" s="86"/>
      <c r="N19" s="11"/>
      <c r="O19" s="5"/>
      <c r="P19" s="5"/>
      <c r="Q19" s="5"/>
      <c r="R19" s="38"/>
      <c r="S19" s="90"/>
      <c r="T19" s="6"/>
      <c r="U19" s="37"/>
      <c r="V19" s="90"/>
      <c r="W19" s="43"/>
      <c r="X19" s="90"/>
      <c r="Y19" s="43"/>
      <c r="Z19" s="90"/>
      <c r="AA19" s="97"/>
      <c r="AG19" s="12"/>
      <c r="AK19" s="12"/>
    </row>
    <row r="20" spans="2:37" ht="15" customHeight="1">
      <c r="B20" s="11">
        <f t="shared" si="0"/>
        <v>10</v>
      </c>
      <c r="C20" s="8">
        <v>22001028</v>
      </c>
      <c r="D20" s="9" t="s">
        <v>29</v>
      </c>
      <c r="E20" s="16"/>
      <c r="F20" s="17"/>
      <c r="G20" s="10"/>
      <c r="H20" s="10"/>
      <c r="I20" s="10"/>
      <c r="J20" s="10"/>
      <c r="K20" s="82"/>
      <c r="L20" s="40"/>
      <c r="M20" s="86"/>
      <c r="N20" s="11"/>
      <c r="O20" s="5"/>
      <c r="P20" s="5"/>
      <c r="Q20" s="5"/>
      <c r="R20" s="38"/>
      <c r="S20" s="90"/>
      <c r="T20" s="6"/>
      <c r="U20" s="37"/>
      <c r="V20" s="90"/>
      <c r="W20" s="43"/>
      <c r="X20" s="90"/>
      <c r="Y20" s="43"/>
      <c r="Z20" s="90"/>
      <c r="AA20" s="97"/>
      <c r="AG20" s="12"/>
      <c r="AK20" s="12"/>
    </row>
    <row r="21" spans="2:37" ht="15" customHeight="1">
      <c r="B21" s="11">
        <f t="shared" si="0"/>
        <v>11</v>
      </c>
      <c r="C21" s="8">
        <v>23001474</v>
      </c>
      <c r="D21" s="9" t="s">
        <v>30</v>
      </c>
      <c r="E21" s="16"/>
      <c r="F21" s="17"/>
      <c r="G21" s="10"/>
      <c r="H21" s="10"/>
      <c r="I21" s="10"/>
      <c r="J21" s="10"/>
      <c r="K21" s="82"/>
      <c r="L21" s="40"/>
      <c r="M21" s="86"/>
      <c r="N21" s="11"/>
      <c r="O21" s="5"/>
      <c r="P21" s="5"/>
      <c r="Q21" s="5"/>
      <c r="R21" s="38"/>
      <c r="S21" s="90"/>
      <c r="T21" s="6"/>
      <c r="U21" s="37"/>
      <c r="V21" s="90"/>
      <c r="W21" s="43"/>
      <c r="X21" s="90"/>
      <c r="Y21" s="43"/>
      <c r="Z21" s="90"/>
      <c r="AA21" s="97"/>
      <c r="AG21" s="12"/>
      <c r="AK21" s="12"/>
    </row>
    <row r="22" spans="2:37" ht="15" customHeight="1">
      <c r="B22" s="11">
        <f t="shared" si="0"/>
        <v>12</v>
      </c>
      <c r="C22" s="8">
        <v>23001506</v>
      </c>
      <c r="D22" s="9" t="s">
        <v>31</v>
      </c>
      <c r="E22" s="16"/>
      <c r="F22" s="17"/>
      <c r="G22" s="10"/>
      <c r="H22" s="10"/>
      <c r="I22" s="10"/>
      <c r="J22" s="10"/>
      <c r="K22" s="82"/>
      <c r="L22" s="40"/>
      <c r="M22" s="86"/>
      <c r="N22" s="11"/>
      <c r="O22" s="5"/>
      <c r="P22" s="5"/>
      <c r="Q22" s="5"/>
      <c r="R22" s="38"/>
      <c r="S22" s="90"/>
      <c r="T22" s="6"/>
      <c r="U22" s="37"/>
      <c r="V22" s="90"/>
      <c r="W22" s="43"/>
      <c r="X22" s="90"/>
      <c r="Y22" s="43"/>
      <c r="Z22" s="90"/>
      <c r="AA22" s="97"/>
      <c r="AG22" s="12"/>
      <c r="AK22" s="12"/>
    </row>
    <row r="23" spans="2:37" ht="15" customHeight="1">
      <c r="B23" s="11">
        <f t="shared" si="0"/>
        <v>13</v>
      </c>
      <c r="C23" s="8">
        <v>23001518</v>
      </c>
      <c r="D23" s="9" t="s">
        <v>32</v>
      </c>
      <c r="E23" s="16"/>
      <c r="F23" s="17"/>
      <c r="G23" s="10"/>
      <c r="H23" s="10"/>
      <c r="I23" s="10"/>
      <c r="J23" s="10"/>
      <c r="K23" s="82"/>
      <c r="L23" s="40"/>
      <c r="M23" s="86"/>
      <c r="N23" s="11"/>
      <c r="O23" s="5"/>
      <c r="P23" s="5"/>
      <c r="Q23" s="5"/>
      <c r="R23" s="38"/>
      <c r="S23" s="90"/>
      <c r="T23" s="6"/>
      <c r="U23" s="37"/>
      <c r="V23" s="90"/>
      <c r="W23" s="43"/>
      <c r="X23" s="90"/>
      <c r="Y23" s="43"/>
      <c r="Z23" s="90"/>
      <c r="AA23" s="97"/>
      <c r="AG23" s="12"/>
      <c r="AK23" s="12"/>
    </row>
    <row r="24" spans="2:37" ht="15" customHeight="1">
      <c r="B24" s="11">
        <f t="shared" si="0"/>
        <v>14</v>
      </c>
      <c r="C24" s="8">
        <v>22002496</v>
      </c>
      <c r="D24" s="9" t="s">
        <v>33</v>
      </c>
      <c r="E24" s="16"/>
      <c r="F24" s="17"/>
      <c r="G24" s="10"/>
      <c r="H24" s="10"/>
      <c r="I24" s="10"/>
      <c r="J24" s="10"/>
      <c r="K24" s="82"/>
      <c r="L24" s="40"/>
      <c r="M24" s="86"/>
      <c r="N24" s="11"/>
      <c r="O24" s="5"/>
      <c r="P24" s="5"/>
      <c r="Q24" s="5"/>
      <c r="R24" s="38"/>
      <c r="S24" s="90"/>
      <c r="T24" s="6"/>
      <c r="U24" s="37"/>
      <c r="V24" s="90"/>
      <c r="W24" s="43"/>
      <c r="X24" s="90"/>
      <c r="Y24" s="43"/>
      <c r="Z24" s="90"/>
      <c r="AA24" s="97"/>
      <c r="AG24" s="12"/>
      <c r="AK24" s="12"/>
    </row>
    <row r="25" spans="2:37" ht="15" customHeight="1">
      <c r="B25" s="11">
        <f t="shared" si="0"/>
        <v>15</v>
      </c>
      <c r="C25" s="8">
        <v>23001468</v>
      </c>
      <c r="D25" s="9" t="s">
        <v>34</v>
      </c>
      <c r="E25" s="16"/>
      <c r="F25" s="17"/>
      <c r="G25" s="10"/>
      <c r="H25" s="10"/>
      <c r="I25" s="10"/>
      <c r="J25" s="10"/>
      <c r="K25" s="82"/>
      <c r="L25" s="40"/>
      <c r="M25" s="86"/>
      <c r="N25" s="11"/>
      <c r="O25" s="5"/>
      <c r="P25" s="5"/>
      <c r="Q25" s="5"/>
      <c r="R25" s="38"/>
      <c r="S25" s="90"/>
      <c r="T25" s="6"/>
      <c r="U25" s="37"/>
      <c r="V25" s="90"/>
      <c r="W25" s="43"/>
      <c r="X25" s="90"/>
      <c r="Y25" s="43"/>
      <c r="Z25" s="90"/>
      <c r="AA25" s="97"/>
      <c r="AG25" s="12"/>
      <c r="AK25" s="12"/>
    </row>
    <row r="26" spans="2:37" ht="15" customHeight="1">
      <c r="B26" s="11">
        <f t="shared" si="0"/>
        <v>16</v>
      </c>
      <c r="C26" s="8">
        <v>23001508</v>
      </c>
      <c r="D26" s="9" t="s">
        <v>35</v>
      </c>
      <c r="E26" s="16"/>
      <c r="F26" s="17"/>
      <c r="G26" s="10"/>
      <c r="H26" s="10"/>
      <c r="I26" s="10"/>
      <c r="J26" s="10"/>
      <c r="K26" s="82"/>
      <c r="L26" s="40"/>
      <c r="M26" s="86"/>
      <c r="N26" s="11"/>
      <c r="O26" s="24"/>
      <c r="P26" s="5"/>
      <c r="Q26" s="5"/>
      <c r="R26" s="38"/>
      <c r="S26" s="90"/>
      <c r="T26" s="6"/>
      <c r="U26" s="37"/>
      <c r="V26" s="90"/>
      <c r="W26" s="43"/>
      <c r="X26" s="90"/>
      <c r="Y26" s="43"/>
      <c r="Z26" s="90"/>
      <c r="AA26" s="97"/>
      <c r="AG26" s="12"/>
      <c r="AK26" s="12"/>
    </row>
    <row r="27" spans="2:37" ht="15" customHeight="1">
      <c r="B27" s="11">
        <f t="shared" si="0"/>
        <v>17</v>
      </c>
      <c r="C27" s="8">
        <v>23001523</v>
      </c>
      <c r="D27" s="9" t="s">
        <v>36</v>
      </c>
      <c r="E27" s="14"/>
      <c r="F27" s="31"/>
      <c r="G27" s="13"/>
      <c r="H27" s="13"/>
      <c r="I27" s="13"/>
      <c r="J27" s="13"/>
      <c r="K27" s="83"/>
      <c r="L27" s="40"/>
      <c r="M27" s="86"/>
      <c r="N27" s="11"/>
      <c r="O27" s="5"/>
      <c r="P27" s="5"/>
      <c r="Q27" s="5"/>
      <c r="R27" s="38"/>
      <c r="S27" s="90"/>
      <c r="T27" s="6"/>
      <c r="U27" s="37"/>
      <c r="V27" s="90"/>
      <c r="W27" s="43"/>
      <c r="X27" s="90"/>
      <c r="Y27" s="44"/>
      <c r="Z27" s="90"/>
      <c r="AA27" s="97"/>
      <c r="AK27" s="12"/>
    </row>
    <row r="28" spans="2:37" ht="15.75" customHeight="1">
      <c r="B28" s="11">
        <f t="shared" si="0"/>
        <v>18</v>
      </c>
      <c r="C28" s="8">
        <v>21002445</v>
      </c>
      <c r="D28" s="9" t="s">
        <v>37</v>
      </c>
      <c r="E28" s="14"/>
      <c r="F28" s="31"/>
      <c r="G28" s="13"/>
      <c r="H28" s="13"/>
      <c r="I28" s="13"/>
      <c r="J28" s="13"/>
      <c r="K28" s="83"/>
      <c r="L28" s="40"/>
      <c r="M28" s="86"/>
      <c r="N28" s="11"/>
      <c r="O28" s="5"/>
      <c r="P28" s="5"/>
      <c r="Q28" s="5"/>
      <c r="R28" s="38"/>
      <c r="S28" s="90"/>
      <c r="T28" s="6"/>
      <c r="U28" s="37"/>
      <c r="V28" s="90"/>
      <c r="W28" s="43"/>
      <c r="X28" s="90"/>
      <c r="Y28" s="43"/>
      <c r="Z28" s="90"/>
      <c r="AA28" s="97"/>
      <c r="AI28" s="12"/>
      <c r="AK28" s="12"/>
    </row>
    <row r="29" spans="2:37" ht="15" customHeight="1">
      <c r="B29" s="11">
        <f t="shared" si="0"/>
        <v>19</v>
      </c>
      <c r="C29" s="8">
        <v>23000643</v>
      </c>
      <c r="D29" s="9" t="s">
        <v>38</v>
      </c>
      <c r="E29" s="14"/>
      <c r="F29" s="31"/>
      <c r="G29" s="13"/>
      <c r="H29" s="13"/>
      <c r="I29" s="13"/>
      <c r="J29" s="13"/>
      <c r="K29" s="83"/>
      <c r="L29" s="40"/>
      <c r="M29" s="86"/>
      <c r="N29" s="11"/>
      <c r="O29" s="5"/>
      <c r="P29" s="5"/>
      <c r="Q29" s="5"/>
      <c r="R29" s="38"/>
      <c r="S29" s="90"/>
      <c r="T29" s="6"/>
      <c r="U29" s="37"/>
      <c r="V29" s="90"/>
      <c r="W29" s="43"/>
      <c r="X29" s="90"/>
      <c r="Y29" s="43"/>
      <c r="Z29" s="90"/>
      <c r="AA29" s="97"/>
      <c r="AK29" s="12"/>
    </row>
    <row r="30" spans="2:37" ht="15" customHeight="1">
      <c r="B30" s="11">
        <f t="shared" si="0"/>
        <v>20</v>
      </c>
      <c r="C30" s="8">
        <v>22001418</v>
      </c>
      <c r="D30" s="9" t="s">
        <v>39</v>
      </c>
      <c r="E30" s="14"/>
      <c r="F30" s="31"/>
      <c r="G30" s="13"/>
      <c r="H30" s="13"/>
      <c r="I30" s="13"/>
      <c r="J30" s="13"/>
      <c r="K30" s="83"/>
      <c r="L30" s="40"/>
      <c r="M30" s="86"/>
      <c r="N30" s="11"/>
      <c r="O30" s="5"/>
      <c r="P30" s="5"/>
      <c r="Q30" s="5"/>
      <c r="R30" s="38"/>
      <c r="S30" s="90"/>
      <c r="T30" s="6"/>
      <c r="U30" s="37"/>
      <c r="V30" s="90"/>
      <c r="W30" s="43"/>
      <c r="X30" s="90"/>
      <c r="Y30" s="43"/>
      <c r="Z30" s="90"/>
      <c r="AA30" s="97"/>
      <c r="AK30" s="12"/>
    </row>
    <row r="31" spans="2:37" ht="15" customHeight="1">
      <c r="B31" s="11">
        <f t="shared" si="0"/>
        <v>21</v>
      </c>
      <c r="C31" s="8">
        <v>23001066</v>
      </c>
      <c r="D31" s="9" t="s">
        <v>40</v>
      </c>
      <c r="E31" s="14"/>
      <c r="F31" s="31"/>
      <c r="G31" s="13"/>
      <c r="H31" s="13"/>
      <c r="I31" s="13"/>
      <c r="J31" s="13"/>
      <c r="K31" s="83"/>
      <c r="L31" s="40"/>
      <c r="M31" s="86"/>
      <c r="N31" s="11"/>
      <c r="O31" s="5"/>
      <c r="P31" s="5"/>
      <c r="Q31" s="5"/>
      <c r="R31" s="38"/>
      <c r="S31" s="90"/>
      <c r="T31" s="6"/>
      <c r="U31" s="37"/>
      <c r="V31" s="90"/>
      <c r="W31" s="43"/>
      <c r="X31" s="90"/>
      <c r="Y31" s="43"/>
      <c r="Z31" s="90"/>
      <c r="AA31" s="97"/>
      <c r="AK31" s="12"/>
    </row>
    <row r="32" spans="2:37" ht="15" customHeight="1">
      <c r="B32" s="11">
        <f t="shared" si="0"/>
        <v>22</v>
      </c>
      <c r="C32" s="8">
        <v>23001525</v>
      </c>
      <c r="D32" s="9" t="s">
        <v>41</v>
      </c>
      <c r="E32" s="14"/>
      <c r="F32" s="31"/>
      <c r="G32" s="13"/>
      <c r="H32" s="13"/>
      <c r="I32" s="13"/>
      <c r="J32" s="13"/>
      <c r="K32" s="83"/>
      <c r="L32" s="40"/>
      <c r="M32" s="86"/>
      <c r="N32" s="28"/>
      <c r="O32" s="5"/>
      <c r="P32" s="5"/>
      <c r="Q32" s="5"/>
      <c r="R32" s="38"/>
      <c r="S32" s="90"/>
      <c r="T32" s="6"/>
      <c r="U32" s="37"/>
      <c r="V32" s="90"/>
      <c r="W32" s="43"/>
      <c r="X32" s="90"/>
      <c r="Y32" s="43"/>
      <c r="Z32" s="90"/>
      <c r="AA32" s="97"/>
      <c r="AK32" s="12"/>
    </row>
    <row r="33" spans="2:37" ht="15" customHeight="1">
      <c r="B33" s="11">
        <f t="shared" si="0"/>
        <v>23</v>
      </c>
      <c r="C33" s="8">
        <v>23001519</v>
      </c>
      <c r="D33" s="9" t="s">
        <v>42</v>
      </c>
      <c r="E33" s="29"/>
      <c r="F33" s="32"/>
      <c r="G33" s="13"/>
      <c r="H33" s="13"/>
      <c r="I33" s="13"/>
      <c r="J33" s="13"/>
      <c r="K33" s="83"/>
      <c r="L33" s="40"/>
      <c r="M33" s="86"/>
      <c r="N33" s="11"/>
      <c r="O33" s="5"/>
      <c r="P33" s="5"/>
      <c r="Q33" s="5"/>
      <c r="R33" s="38"/>
      <c r="S33" s="90"/>
      <c r="T33" s="6"/>
      <c r="U33" s="37"/>
      <c r="V33" s="90"/>
      <c r="W33" s="43"/>
      <c r="X33" s="90"/>
      <c r="Y33" s="43"/>
      <c r="Z33" s="90"/>
      <c r="AA33" s="97"/>
      <c r="AK33" s="12"/>
    </row>
    <row r="34" spans="2:37" ht="15" customHeight="1" thickBot="1">
      <c r="B34" s="21">
        <f t="shared" si="0"/>
        <v>24</v>
      </c>
      <c r="C34" s="19">
        <v>23001503</v>
      </c>
      <c r="D34" s="20" t="s">
        <v>43</v>
      </c>
      <c r="E34" s="56"/>
      <c r="F34" s="57"/>
      <c r="G34" s="58"/>
      <c r="H34" s="59"/>
      <c r="I34" s="59"/>
      <c r="J34" s="58"/>
      <c r="K34" s="84"/>
      <c r="L34" s="41"/>
      <c r="M34" s="87"/>
      <c r="N34" s="21"/>
      <c r="O34" s="23"/>
      <c r="P34" s="61"/>
      <c r="Q34" s="23"/>
      <c r="R34" s="63"/>
      <c r="S34" s="91"/>
      <c r="T34" s="22"/>
      <c r="U34" s="42"/>
      <c r="V34" s="91"/>
      <c r="W34" s="64"/>
      <c r="X34" s="91"/>
      <c r="Y34" s="64"/>
      <c r="Z34" s="91"/>
      <c r="AA34" s="98"/>
      <c r="AK34" s="12"/>
    </row>
    <row r="35" spans="2:37" ht="15.6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33"/>
      <c r="AA35" s="15"/>
    </row>
  </sheetData>
  <mergeCells count="14">
    <mergeCell ref="W8:X9"/>
    <mergeCell ref="Y8:Z9"/>
    <mergeCell ref="AA8:AA10"/>
    <mergeCell ref="E8:M8"/>
    <mergeCell ref="N8:S9"/>
    <mergeCell ref="T8:V9"/>
    <mergeCell ref="G9:H9"/>
    <mergeCell ref="K9:L9"/>
    <mergeCell ref="M9:M10"/>
    <mergeCell ref="B8:B10"/>
    <mergeCell ref="C8:C10"/>
    <mergeCell ref="D8:D10"/>
    <mergeCell ref="E9:F9"/>
    <mergeCell ref="I9:J9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2:ALR35"/>
  <sheetViews>
    <sheetView topLeftCell="A7" zoomScale="70" zoomScaleNormal="70" workbookViewId="0">
      <pane xSplit="4" ySplit="4" topLeftCell="E11" activePane="bottomRight" state="frozen"/>
      <selection pane="bottomRight" activeCell="Q11" sqref="Q11"/>
      <selection pane="bottomLeft" activeCell="A11" sqref="A11"/>
      <selection pane="topRight" activeCell="E7" sqref="E7"/>
    </sheetView>
  </sheetViews>
  <sheetFormatPr defaultColWidth="11.42578125" defaultRowHeight="15" customHeight="1"/>
  <cols>
    <col min="1" max="1" width="3.7109375" style="1" customWidth="1"/>
    <col min="2" max="2" width="3.85546875" style="1" customWidth="1"/>
    <col min="3" max="3" width="11" style="1" customWidth="1"/>
    <col min="4" max="4" width="43.28515625" style="1" bestFit="1" customWidth="1"/>
    <col min="5" max="10" width="7.5703125" style="1" customWidth="1"/>
    <col min="11" max="12" width="9.5703125" style="1" customWidth="1"/>
    <col min="13" max="14" width="5" style="1" customWidth="1"/>
    <col min="15" max="18" width="5.140625" style="1" customWidth="1"/>
    <col min="19" max="25" width="5" style="1" customWidth="1"/>
    <col min="26" max="1006" width="11.42578125" style="1"/>
  </cols>
  <sheetData>
    <row r="2" spans="2:22" ht="15.6">
      <c r="B2" s="2" t="s">
        <v>0</v>
      </c>
    </row>
    <row r="3" spans="2:22" ht="15.6">
      <c r="B3" s="3" t="s">
        <v>1</v>
      </c>
    </row>
    <row r="4" spans="2:22" ht="15.6">
      <c r="B4" s="4" t="s">
        <v>2</v>
      </c>
    </row>
    <row r="5" spans="2:22" ht="15.6">
      <c r="B5" s="3" t="s">
        <v>3</v>
      </c>
    </row>
    <row r="6" spans="2:22" ht="15.6">
      <c r="B6" s="4" t="s">
        <v>4</v>
      </c>
    </row>
    <row r="7" spans="2:22" ht="15" customHeight="1" thickBot="1"/>
    <row r="8" spans="2:22" ht="15" customHeight="1" thickBot="1">
      <c r="B8" s="148" t="s">
        <v>5</v>
      </c>
      <c r="C8" s="151" t="s">
        <v>6</v>
      </c>
      <c r="D8" s="154" t="s">
        <v>7</v>
      </c>
      <c r="E8" s="177" t="s">
        <v>55</v>
      </c>
      <c r="F8" s="179"/>
      <c r="G8" s="177" t="s">
        <v>56</v>
      </c>
      <c r="H8" s="179"/>
      <c r="I8" s="177" t="s">
        <v>57</v>
      </c>
      <c r="J8" s="179"/>
      <c r="K8" s="195" t="s">
        <v>58</v>
      </c>
      <c r="L8" s="195" t="s">
        <v>59</v>
      </c>
    </row>
    <row r="9" spans="2:22" ht="15.6">
      <c r="B9" s="149"/>
      <c r="C9" s="152"/>
      <c r="D9" s="155"/>
      <c r="E9" s="198" t="s">
        <v>60</v>
      </c>
      <c r="F9" s="200" t="s">
        <v>61</v>
      </c>
      <c r="G9" s="202" t="s">
        <v>60</v>
      </c>
      <c r="H9" s="203" t="s">
        <v>62</v>
      </c>
      <c r="I9" s="202" t="s">
        <v>60</v>
      </c>
      <c r="J9" s="203" t="s">
        <v>63</v>
      </c>
      <c r="K9" s="196"/>
      <c r="L9" s="196"/>
    </row>
    <row r="10" spans="2:22" ht="15.95" thickBot="1">
      <c r="B10" s="150"/>
      <c r="C10" s="153"/>
      <c r="D10" s="156"/>
      <c r="E10" s="199"/>
      <c r="F10" s="201"/>
      <c r="G10" s="199"/>
      <c r="H10" s="201"/>
      <c r="I10" s="199"/>
      <c r="J10" s="201"/>
      <c r="K10" s="197"/>
      <c r="L10" s="197"/>
    </row>
    <row r="11" spans="2:22" ht="15" customHeight="1">
      <c r="B11" s="45">
        <v>1</v>
      </c>
      <c r="C11" s="46">
        <v>23001511</v>
      </c>
      <c r="D11" s="47" t="s">
        <v>20</v>
      </c>
      <c r="E11" s="48">
        <f>'Parcial 1'!O11</f>
        <v>4</v>
      </c>
      <c r="F11" s="139">
        <f>'Parcial 1'!AF11</f>
        <v>0.21428571428571427</v>
      </c>
      <c r="G11" s="49"/>
      <c r="H11" s="67"/>
      <c r="I11" s="48"/>
      <c r="J11" s="66"/>
      <c r="K11" s="142">
        <f>I11+G11+E11</f>
        <v>4</v>
      </c>
      <c r="L11" s="145">
        <f>(J11+H11+F11)/3</f>
        <v>7.1428571428571425E-2</v>
      </c>
    </row>
    <row r="12" spans="2:22" ht="15" customHeight="1">
      <c r="B12" s="11">
        <f>B11+1</f>
        <v>2</v>
      </c>
      <c r="C12" s="8">
        <v>23001521</v>
      </c>
      <c r="D12" s="9" t="s">
        <v>21</v>
      </c>
      <c r="E12" s="16">
        <f>'Parcial 1'!O12</f>
        <v>0</v>
      </c>
      <c r="F12" s="140">
        <f>'Parcial 1'!AF12</f>
        <v>4.8571428571428568</v>
      </c>
      <c r="G12" s="17"/>
      <c r="H12" s="18"/>
      <c r="I12" s="16"/>
      <c r="J12" s="40"/>
      <c r="K12" s="143">
        <f t="shared" ref="K12:K34" si="0">I12+G12+E12</f>
        <v>0</v>
      </c>
      <c r="L12" s="146">
        <f t="shared" ref="L12:L34" si="1">(J12+H12+F12)/3</f>
        <v>1.6190476190476188</v>
      </c>
      <c r="R12" s="12"/>
    </row>
    <row r="13" spans="2:22" ht="15" customHeight="1">
      <c r="B13" s="11">
        <v>3</v>
      </c>
      <c r="C13" s="8">
        <v>23001496</v>
      </c>
      <c r="D13" s="9" t="s">
        <v>22</v>
      </c>
      <c r="E13" s="16">
        <f>'Parcial 1'!O13</f>
        <v>0</v>
      </c>
      <c r="F13" s="140">
        <f>'Parcial 1'!AF13</f>
        <v>4.7380952380952381</v>
      </c>
      <c r="G13" s="17"/>
      <c r="H13" s="18"/>
      <c r="I13" s="16"/>
      <c r="J13" s="40"/>
      <c r="K13" s="143">
        <f t="shared" si="0"/>
        <v>0</v>
      </c>
      <c r="L13" s="146">
        <f t="shared" si="1"/>
        <v>1.5793650793650793</v>
      </c>
      <c r="R13" s="12"/>
      <c r="V13" s="12"/>
    </row>
    <row r="14" spans="2:22" ht="15" customHeight="1">
      <c r="B14" s="11">
        <f>B13+1</f>
        <v>4</v>
      </c>
      <c r="C14" s="8">
        <v>23001488</v>
      </c>
      <c r="D14" s="9" t="s">
        <v>23</v>
      </c>
      <c r="E14" s="16">
        <f>'Parcial 1'!O14</f>
        <v>0</v>
      </c>
      <c r="F14" s="140">
        <f>'Parcial 1'!AF14</f>
        <v>5</v>
      </c>
      <c r="G14" s="17"/>
      <c r="H14" s="18"/>
      <c r="I14" s="16"/>
      <c r="J14" s="40"/>
      <c r="K14" s="143">
        <f t="shared" si="0"/>
        <v>0</v>
      </c>
      <c r="L14" s="146">
        <f t="shared" si="1"/>
        <v>1.6666666666666667</v>
      </c>
      <c r="R14" s="12"/>
      <c r="V14" s="12"/>
    </row>
    <row r="15" spans="2:22" ht="15" customHeight="1">
      <c r="B15" s="11">
        <f>B14+1</f>
        <v>5</v>
      </c>
      <c r="C15" s="8">
        <v>23001065</v>
      </c>
      <c r="D15" s="9" t="s">
        <v>24</v>
      </c>
      <c r="E15" s="16">
        <f>'Parcial 1'!O15</f>
        <v>0</v>
      </c>
      <c r="F15" s="140">
        <f>'Parcial 1'!AF15</f>
        <v>2.2261904761904763</v>
      </c>
      <c r="G15" s="17"/>
      <c r="H15" s="18"/>
      <c r="I15" s="16"/>
      <c r="J15" s="40"/>
      <c r="K15" s="143">
        <f t="shared" si="0"/>
        <v>0</v>
      </c>
      <c r="L15" s="146">
        <f t="shared" si="1"/>
        <v>0.74206349206349209</v>
      </c>
      <c r="R15" s="12"/>
      <c r="V15" s="12"/>
    </row>
    <row r="16" spans="2:22" ht="15" customHeight="1">
      <c r="B16" s="11">
        <f>B15+1</f>
        <v>6</v>
      </c>
      <c r="C16" s="8">
        <v>23001491</v>
      </c>
      <c r="D16" s="9" t="s">
        <v>25</v>
      </c>
      <c r="E16" s="16">
        <f>'Parcial 1'!O16</f>
        <v>1</v>
      </c>
      <c r="F16" s="140">
        <f>'Parcial 1'!AF16</f>
        <v>4.9285714285714288</v>
      </c>
      <c r="G16" s="17"/>
      <c r="H16" s="18"/>
      <c r="I16" s="16"/>
      <c r="J16" s="40"/>
      <c r="K16" s="143">
        <f t="shared" si="0"/>
        <v>1</v>
      </c>
      <c r="L16" s="146">
        <f t="shared" si="1"/>
        <v>1.642857142857143</v>
      </c>
      <c r="R16" s="12"/>
      <c r="V16" s="12"/>
    </row>
    <row r="17" spans="2:22" ht="15" customHeight="1">
      <c r="B17" s="11">
        <f>B16+1</f>
        <v>7</v>
      </c>
      <c r="C17" s="8">
        <v>23001358</v>
      </c>
      <c r="D17" s="9" t="s">
        <v>26</v>
      </c>
      <c r="E17" s="16">
        <f>'Parcial 1'!O17</f>
        <v>2</v>
      </c>
      <c r="F17" s="140">
        <f>'Parcial 1'!AF17</f>
        <v>3.5714285714285716</v>
      </c>
      <c r="G17" s="17"/>
      <c r="H17" s="18"/>
      <c r="I17" s="16"/>
      <c r="J17" s="40"/>
      <c r="K17" s="143">
        <f t="shared" si="0"/>
        <v>2</v>
      </c>
      <c r="L17" s="146">
        <f t="shared" si="1"/>
        <v>1.1904761904761905</v>
      </c>
      <c r="R17" s="12"/>
      <c r="V17" s="12"/>
    </row>
    <row r="18" spans="2:22" ht="15" customHeight="1">
      <c r="B18" s="11">
        <v>8</v>
      </c>
      <c r="C18" s="8">
        <v>23001499</v>
      </c>
      <c r="D18" s="9" t="s">
        <v>27</v>
      </c>
      <c r="E18" s="16">
        <f>'Parcial 1'!O18</f>
        <v>0</v>
      </c>
      <c r="F18" s="140">
        <f>'Parcial 1'!AF18</f>
        <v>5</v>
      </c>
      <c r="G18" s="17"/>
      <c r="H18" s="18"/>
      <c r="I18" s="16"/>
      <c r="J18" s="40"/>
      <c r="K18" s="143">
        <f t="shared" si="0"/>
        <v>0</v>
      </c>
      <c r="L18" s="146">
        <f t="shared" si="1"/>
        <v>1.6666666666666667</v>
      </c>
      <c r="R18" s="12"/>
      <c r="V18" s="12"/>
    </row>
    <row r="19" spans="2:22" ht="15" customHeight="1">
      <c r="B19" s="11">
        <v>9</v>
      </c>
      <c r="C19" s="8">
        <v>23001507</v>
      </c>
      <c r="D19" s="9" t="s">
        <v>28</v>
      </c>
      <c r="E19" s="16">
        <f>'Parcial 1'!O19</f>
        <v>0</v>
      </c>
      <c r="F19" s="140">
        <f>'Parcial 1'!AF19</f>
        <v>3.9404761904761907</v>
      </c>
      <c r="G19" s="17"/>
      <c r="H19" s="18"/>
      <c r="I19" s="16"/>
      <c r="J19" s="40"/>
      <c r="K19" s="143">
        <f t="shared" si="0"/>
        <v>0</v>
      </c>
      <c r="L19" s="146">
        <f t="shared" si="1"/>
        <v>1.3134920634920635</v>
      </c>
      <c r="R19" s="12"/>
      <c r="V19" s="12"/>
    </row>
    <row r="20" spans="2:22" ht="15" customHeight="1">
      <c r="B20" s="11">
        <f>B19+1</f>
        <v>10</v>
      </c>
      <c r="C20" s="8">
        <v>22001028</v>
      </c>
      <c r="D20" s="9" t="s">
        <v>29</v>
      </c>
      <c r="E20" s="16">
        <f>'Parcial 1'!O20</f>
        <v>0</v>
      </c>
      <c r="F20" s="140">
        <f>'Parcial 1'!AF20</f>
        <v>3.5476190476190474</v>
      </c>
      <c r="G20" s="17"/>
      <c r="H20" s="18"/>
      <c r="I20" s="16"/>
      <c r="J20" s="40"/>
      <c r="K20" s="143">
        <f t="shared" si="0"/>
        <v>0</v>
      </c>
      <c r="L20" s="146">
        <f t="shared" si="1"/>
        <v>1.1825396825396826</v>
      </c>
      <c r="R20" s="12"/>
      <c r="V20" s="12"/>
    </row>
    <row r="21" spans="2:22" ht="15" customHeight="1">
      <c r="B21" s="11">
        <v>11</v>
      </c>
      <c r="C21" s="8">
        <v>23001474</v>
      </c>
      <c r="D21" s="9" t="s">
        <v>30</v>
      </c>
      <c r="E21" s="16">
        <f>'Parcial 1'!O21</f>
        <v>1</v>
      </c>
      <c r="F21" s="140">
        <f>'Parcial 1'!AF21</f>
        <v>4.8095238095238093</v>
      </c>
      <c r="G21" s="17"/>
      <c r="H21" s="18"/>
      <c r="I21" s="16"/>
      <c r="J21" s="40"/>
      <c r="K21" s="143">
        <f t="shared" si="0"/>
        <v>1</v>
      </c>
      <c r="L21" s="146">
        <f t="shared" si="1"/>
        <v>1.603174603174603</v>
      </c>
      <c r="R21" s="12"/>
      <c r="V21" s="12"/>
    </row>
    <row r="22" spans="2:22" ht="15" customHeight="1">
      <c r="B22" s="11">
        <v>12</v>
      </c>
      <c r="C22" s="8">
        <v>23001506</v>
      </c>
      <c r="D22" s="9" t="s">
        <v>31</v>
      </c>
      <c r="E22" s="16">
        <f>'Parcial 1'!O22</f>
        <v>0</v>
      </c>
      <c r="F22" s="140">
        <f>'Parcial 1'!AF22</f>
        <v>4.916666666666667</v>
      </c>
      <c r="G22" s="17"/>
      <c r="H22" s="18"/>
      <c r="I22" s="16"/>
      <c r="J22" s="40"/>
      <c r="K22" s="143">
        <f t="shared" si="0"/>
        <v>0</v>
      </c>
      <c r="L22" s="146">
        <f t="shared" si="1"/>
        <v>1.6388888888888891</v>
      </c>
      <c r="R22" s="12"/>
      <c r="V22" s="12"/>
    </row>
    <row r="23" spans="2:22" ht="15" customHeight="1">
      <c r="B23" s="11">
        <v>13</v>
      </c>
      <c r="C23" s="8">
        <v>23001518</v>
      </c>
      <c r="D23" s="9" t="s">
        <v>32</v>
      </c>
      <c r="E23" s="16">
        <f>'Parcial 1'!O23</f>
        <v>1</v>
      </c>
      <c r="F23" s="140">
        <f>'Parcial 1'!AF23</f>
        <v>4.8809523809523814</v>
      </c>
      <c r="G23" s="17"/>
      <c r="H23" s="18"/>
      <c r="I23" s="16"/>
      <c r="J23" s="40"/>
      <c r="K23" s="143">
        <f t="shared" si="0"/>
        <v>1</v>
      </c>
      <c r="L23" s="146">
        <f t="shared" si="1"/>
        <v>1.6269841269841272</v>
      </c>
      <c r="R23" s="12"/>
      <c r="V23" s="12"/>
    </row>
    <row r="24" spans="2:22" ht="15" customHeight="1">
      <c r="B24" s="11">
        <v>14</v>
      </c>
      <c r="C24" s="8">
        <v>22002496</v>
      </c>
      <c r="D24" s="9" t="s">
        <v>33</v>
      </c>
      <c r="E24" s="16">
        <f>'Parcial 1'!O24</f>
        <v>1</v>
      </c>
      <c r="F24" s="140">
        <f>'Parcial 1'!AF24</f>
        <v>3.9166666666666665</v>
      </c>
      <c r="G24" s="17"/>
      <c r="H24" s="18"/>
      <c r="I24" s="16"/>
      <c r="J24" s="40"/>
      <c r="K24" s="143">
        <f t="shared" si="0"/>
        <v>1</v>
      </c>
      <c r="L24" s="146">
        <f t="shared" si="1"/>
        <v>1.3055555555555556</v>
      </c>
      <c r="R24" s="12"/>
      <c r="V24" s="12"/>
    </row>
    <row r="25" spans="2:22" ht="15" customHeight="1">
      <c r="B25" s="11">
        <v>15</v>
      </c>
      <c r="C25" s="8">
        <v>23001468</v>
      </c>
      <c r="D25" s="9" t="s">
        <v>34</v>
      </c>
      <c r="E25" s="16">
        <f>'Parcial 1'!O25</f>
        <v>0</v>
      </c>
      <c r="F25" s="140">
        <f>'Parcial 1'!AF25</f>
        <v>4.75</v>
      </c>
      <c r="G25" s="17"/>
      <c r="H25" s="18"/>
      <c r="I25" s="16"/>
      <c r="J25" s="40"/>
      <c r="K25" s="143">
        <f t="shared" si="0"/>
        <v>0</v>
      </c>
      <c r="L25" s="146">
        <f t="shared" si="1"/>
        <v>1.5833333333333333</v>
      </c>
      <c r="R25" s="12"/>
      <c r="V25" s="12"/>
    </row>
    <row r="26" spans="2:22" ht="15" customHeight="1">
      <c r="B26" s="11">
        <v>16</v>
      </c>
      <c r="C26" s="8">
        <v>23001508</v>
      </c>
      <c r="D26" s="9" t="s">
        <v>35</v>
      </c>
      <c r="E26" s="16">
        <f>'Parcial 1'!O26</f>
        <v>0</v>
      </c>
      <c r="F26" s="140">
        <f>'Parcial 1'!AF26</f>
        <v>5</v>
      </c>
      <c r="G26" s="17"/>
      <c r="H26" s="18"/>
      <c r="I26" s="16"/>
      <c r="J26" s="40"/>
      <c r="K26" s="143">
        <f t="shared" si="0"/>
        <v>0</v>
      </c>
      <c r="L26" s="146">
        <f t="shared" si="1"/>
        <v>1.6666666666666667</v>
      </c>
      <c r="R26" s="12"/>
      <c r="V26" s="12"/>
    </row>
    <row r="27" spans="2:22" ht="15" customHeight="1">
      <c r="B27" s="11">
        <v>17</v>
      </c>
      <c r="C27" s="8">
        <v>23001523</v>
      </c>
      <c r="D27" s="9" t="s">
        <v>36</v>
      </c>
      <c r="E27" s="16">
        <f>'Parcial 1'!O27</f>
        <v>0</v>
      </c>
      <c r="F27" s="140">
        <f>'Parcial 1'!AF27</f>
        <v>4.6071428571428568</v>
      </c>
      <c r="G27" s="31"/>
      <c r="H27" s="34"/>
      <c r="I27" s="14"/>
      <c r="J27" s="40"/>
      <c r="K27" s="143">
        <f t="shared" si="0"/>
        <v>0</v>
      </c>
      <c r="L27" s="146">
        <f t="shared" si="1"/>
        <v>1.5357142857142856</v>
      </c>
      <c r="V27" s="12"/>
    </row>
    <row r="28" spans="2:22" ht="15.75" customHeight="1">
      <c r="B28" s="11">
        <v>18</v>
      </c>
      <c r="C28" s="8">
        <v>21002445</v>
      </c>
      <c r="D28" s="9" t="s">
        <v>37</v>
      </c>
      <c r="E28" s="16">
        <f>'Parcial 1'!O28</f>
        <v>1</v>
      </c>
      <c r="F28" s="140">
        <f>'Parcial 1'!AF28</f>
        <v>3.6309523809523809</v>
      </c>
      <c r="G28" s="31"/>
      <c r="H28" s="34"/>
      <c r="I28" s="14"/>
      <c r="J28" s="40"/>
      <c r="K28" s="143">
        <f t="shared" si="0"/>
        <v>1</v>
      </c>
      <c r="L28" s="146">
        <f t="shared" si="1"/>
        <v>1.2103174603174602</v>
      </c>
      <c r="T28" s="12"/>
      <c r="V28" s="12"/>
    </row>
    <row r="29" spans="2:22" ht="15" customHeight="1">
      <c r="B29" s="11">
        <v>19</v>
      </c>
      <c r="C29" s="8">
        <v>23000643</v>
      </c>
      <c r="D29" s="9" t="s">
        <v>38</v>
      </c>
      <c r="E29" s="16">
        <f>'Parcial 1'!O29</f>
        <v>0</v>
      </c>
      <c r="F29" s="140">
        <f>'Parcial 1'!AF29</f>
        <v>3.6190476190476191</v>
      </c>
      <c r="G29" s="31"/>
      <c r="H29" s="34"/>
      <c r="I29" s="14"/>
      <c r="J29" s="40"/>
      <c r="K29" s="143">
        <f t="shared" si="0"/>
        <v>0</v>
      </c>
      <c r="L29" s="146">
        <f t="shared" si="1"/>
        <v>1.2063492063492063</v>
      </c>
      <c r="V29" s="12"/>
    </row>
    <row r="30" spans="2:22" ht="15" customHeight="1">
      <c r="B30" s="11">
        <v>20</v>
      </c>
      <c r="C30" s="8">
        <v>22001418</v>
      </c>
      <c r="D30" s="9" t="s">
        <v>39</v>
      </c>
      <c r="E30" s="16">
        <f>'Parcial 1'!O30</f>
        <v>0</v>
      </c>
      <c r="F30" s="140">
        <f>'Parcial 1'!AF30</f>
        <v>4.9285714285714288</v>
      </c>
      <c r="G30" s="31"/>
      <c r="H30" s="34"/>
      <c r="I30" s="14"/>
      <c r="J30" s="40"/>
      <c r="K30" s="143">
        <f t="shared" si="0"/>
        <v>0</v>
      </c>
      <c r="L30" s="146">
        <f t="shared" si="1"/>
        <v>1.642857142857143</v>
      </c>
      <c r="V30" s="12"/>
    </row>
    <row r="31" spans="2:22" ht="15" customHeight="1">
      <c r="B31" s="11">
        <v>21</v>
      </c>
      <c r="C31" s="8">
        <v>23001066</v>
      </c>
      <c r="D31" s="9" t="s">
        <v>40</v>
      </c>
      <c r="E31" s="16">
        <f>'Parcial 1'!O31</f>
        <v>0</v>
      </c>
      <c r="F31" s="140">
        <f>'Parcial 1'!AF31</f>
        <v>3.9285714285714284</v>
      </c>
      <c r="G31" s="31"/>
      <c r="H31" s="34"/>
      <c r="I31" s="14"/>
      <c r="J31" s="40"/>
      <c r="K31" s="143">
        <f t="shared" si="0"/>
        <v>0</v>
      </c>
      <c r="L31" s="146">
        <f t="shared" si="1"/>
        <v>1.3095238095238095</v>
      </c>
      <c r="V31" s="12"/>
    </row>
    <row r="32" spans="2:22" ht="15" customHeight="1">
      <c r="B32" s="11">
        <v>22</v>
      </c>
      <c r="C32" s="8">
        <v>23001525</v>
      </c>
      <c r="D32" s="9" t="s">
        <v>41</v>
      </c>
      <c r="E32" s="16">
        <f>'Parcial 1'!O32</f>
        <v>0</v>
      </c>
      <c r="F32" s="140">
        <f>'Parcial 1'!AF32</f>
        <v>4.8928571428571432</v>
      </c>
      <c r="G32" s="31"/>
      <c r="H32" s="34"/>
      <c r="I32" s="14"/>
      <c r="J32" s="40"/>
      <c r="K32" s="143">
        <f t="shared" si="0"/>
        <v>0</v>
      </c>
      <c r="L32" s="146">
        <f t="shared" si="1"/>
        <v>1.6309523809523812</v>
      </c>
      <c r="V32" s="12"/>
    </row>
    <row r="33" spans="2:22" ht="15" customHeight="1">
      <c r="B33" s="11">
        <v>23</v>
      </c>
      <c r="C33" s="8">
        <v>23001519</v>
      </c>
      <c r="D33" s="9" t="s">
        <v>42</v>
      </c>
      <c r="E33" s="16">
        <f>'Parcial 1'!O33</f>
        <v>1</v>
      </c>
      <c r="F33" s="140">
        <f>'Parcial 1'!AF33</f>
        <v>4.6428571428571432</v>
      </c>
      <c r="G33" s="31"/>
      <c r="H33" s="34"/>
      <c r="I33" s="14"/>
      <c r="J33" s="40"/>
      <c r="K33" s="143">
        <f t="shared" si="0"/>
        <v>1</v>
      </c>
      <c r="L33" s="146">
        <f t="shared" si="1"/>
        <v>1.5476190476190477</v>
      </c>
      <c r="V33" s="12"/>
    </row>
    <row r="34" spans="2:22" ht="15" customHeight="1" thickBot="1">
      <c r="B34" s="21">
        <v>24</v>
      </c>
      <c r="C34" s="19">
        <v>23001503</v>
      </c>
      <c r="D34" s="20" t="s">
        <v>43</v>
      </c>
      <c r="E34" s="102">
        <f>'Parcial 1'!O34</f>
        <v>0</v>
      </c>
      <c r="F34" s="141">
        <f>'Parcial 1'!AF34</f>
        <v>3.6428571428571432</v>
      </c>
      <c r="G34" s="57"/>
      <c r="H34" s="68"/>
      <c r="I34" s="56"/>
      <c r="J34" s="41"/>
      <c r="K34" s="144">
        <f t="shared" si="0"/>
        <v>0</v>
      </c>
      <c r="L34" s="147">
        <f t="shared" si="1"/>
        <v>1.2142857142857144</v>
      </c>
      <c r="V34" s="12"/>
    </row>
    <row r="35" spans="2:22" ht="15.6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</sheetData>
  <mergeCells count="14">
    <mergeCell ref="L8:L10"/>
    <mergeCell ref="E9:E10"/>
    <mergeCell ref="F9:F10"/>
    <mergeCell ref="G9:G10"/>
    <mergeCell ref="H9:H10"/>
    <mergeCell ref="I9:I10"/>
    <mergeCell ref="J9:J10"/>
    <mergeCell ref="E8:F8"/>
    <mergeCell ref="G8:H8"/>
    <mergeCell ref="B8:B10"/>
    <mergeCell ref="C8:C10"/>
    <mergeCell ref="D8:D10"/>
    <mergeCell ref="K8:K10"/>
    <mergeCell ref="I8:J8"/>
  </mergeCells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CEF4822EF29244AF87EC39EF898DFD" ma:contentTypeVersion="10" ma:contentTypeDescription="Crear nuevo documento." ma:contentTypeScope="" ma:versionID="9dac58ee98cf798cbbe3d8a3c02d747d">
  <xsd:schema xmlns:xsd="http://www.w3.org/2001/XMLSchema" xmlns:xs="http://www.w3.org/2001/XMLSchema" xmlns:p="http://schemas.microsoft.com/office/2006/metadata/properties" xmlns:ns2="f31fe9dd-75ec-4ed6-9699-60cc2b13ba40" xmlns:ns3="dc78908b-97c3-405b-a5ce-fefeb7771c56" targetNamespace="http://schemas.microsoft.com/office/2006/metadata/properties" ma:root="true" ma:fieldsID="bafa49b8c53508c106265343185b0350" ns2:_="" ns3:_="">
    <xsd:import namespace="f31fe9dd-75ec-4ed6-9699-60cc2b13ba40"/>
    <xsd:import namespace="dc78908b-97c3-405b-a5ce-fefeb7771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fe9dd-75ec-4ed6-9699-60cc2b13ba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1a90b37-0157-4a12-b935-c0c6d692a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8908b-97c3-405b-a5ce-fefeb7771c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086782-5172-4f38-896e-e2845e5b09c4}" ma:internalName="TaxCatchAll" ma:showField="CatchAllData" ma:web="dc78908b-97c3-405b-a5ce-fefeb7771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fe9dd-75ec-4ed6-9699-60cc2b13ba40">
      <Terms xmlns="http://schemas.microsoft.com/office/infopath/2007/PartnerControls"/>
    </lcf76f155ced4ddcb4097134ff3c332f>
    <TaxCatchAll xmlns="dc78908b-97c3-405b-a5ce-fefeb7771c56" xsi:nil="true"/>
  </documentManagement>
</p:properties>
</file>

<file path=customXml/itemProps1.xml><?xml version="1.0" encoding="utf-8"?>
<ds:datastoreItem xmlns:ds="http://schemas.openxmlformats.org/officeDocument/2006/customXml" ds:itemID="{AE79C096-2BF0-4502-87F9-C949BF4E764D}"/>
</file>

<file path=customXml/itemProps2.xml><?xml version="1.0" encoding="utf-8"?>
<ds:datastoreItem xmlns:ds="http://schemas.openxmlformats.org/officeDocument/2006/customXml" ds:itemID="{215AC547-A91A-43E8-BFC6-418D3728007D}"/>
</file>

<file path=customXml/itemProps3.xml><?xml version="1.0" encoding="utf-8"?>
<ds:datastoreItem xmlns:ds="http://schemas.openxmlformats.org/officeDocument/2006/customXml" ds:itemID="{0C247751-C129-46EB-BB70-9C7514A0F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14096</dc:creator>
  <cp:keywords/>
  <dc:description/>
  <cp:lastModifiedBy/>
  <cp:revision>6</cp:revision>
  <dcterms:created xsi:type="dcterms:W3CDTF">2021-01-11T22:48:21Z</dcterms:created>
  <dcterms:modified xsi:type="dcterms:W3CDTF">2026-05-27T21:38:51Z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0x010100B5CEF4822EF29244AF87EC39EF898DFD</vt:lpwstr>
  </property>
  <property fmtid="{D5CDD505-2E9C-101B-9397-08002B2CF9AE}" pid="3" name="MediaServiceImageTags">
    <vt:lpwstr/>
  </property>
</Properties>
</file>